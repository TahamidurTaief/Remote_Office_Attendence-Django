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autoCompressPictures="0"/>
  <xr:revisionPtr revIDLastSave="0" documentId="13_ncr:1_{6E88F347-6C3F-4A8D-9B3F-3206D679783D}" xr6:coauthVersionLast="47" xr6:coauthVersionMax="47" xr10:uidLastSave="{00000000-0000-0000-0000-000000000000}"/>
  <bookViews>
    <workbookView xWindow="-120" yWindow="-120" windowWidth="29040" windowHeight="15840" tabRatio="637" activeTab="7" xr2:uid="{00000000-000D-0000-FFFF-FFFF00000000}"/>
  </bookViews>
  <sheets>
    <sheet name="Project Planner" sheetId="4" r:id="rId1"/>
    <sheet name="Project Planner (3)" sheetId="17" r:id="rId2"/>
    <sheet name="Schedule" sheetId="6" r:id="rId3"/>
    <sheet name="DATE" sheetId="13" r:id="rId4"/>
    <sheet name="Organogram" sheetId="8" r:id="rId5"/>
    <sheet name="SCOPE" sheetId="7" r:id="rId6"/>
    <sheet name="Project Planner (2)" sheetId="14" r:id="rId7"/>
    <sheet name="TOOLS" sheetId="16" r:id="rId8"/>
    <sheet name="Schedule (2)" sheetId="12" state="hidden" r:id="rId9"/>
  </sheets>
  <definedNames>
    <definedName name="Actual" localSheetId="0">('Project Planner'!PeriodInActual*('Project Planner'!$E1&gt;0))*'Project Planner'!PeriodInPlan</definedName>
    <definedName name="Actual" localSheetId="6">('Project Planner (2)'!PeriodInActual*('Project Planner (2)'!$E1&gt;0))*'Project Planner (2)'!PeriodInPlan</definedName>
    <definedName name="Actual" localSheetId="1">('Project Planner (3)'!PeriodInActual*('Project Planner (3)'!$F1&gt;0))*'Project Planner (3)'!PeriodInPlan</definedName>
    <definedName name="Actual" localSheetId="7">(PeriodInActual*(#REF!&gt;0))*PeriodInPlan</definedName>
    <definedName name="Actual">(PeriodInActual*(#REF!&gt;0))*PeriodInPlan</definedName>
    <definedName name="ActualBeyond" localSheetId="0">'Project Planner'!PeriodInActual*('Project Planner'!$E1&gt;0)</definedName>
    <definedName name="ActualBeyond" localSheetId="6">'Project Planner (2)'!PeriodInActual*('Project Planner (2)'!$E1&gt;0)</definedName>
    <definedName name="ActualBeyond" localSheetId="1">'Project Planner (3)'!PeriodInActual*('Project Planner (3)'!$F1&gt;0)</definedName>
    <definedName name="ActualBeyond" localSheetId="7">PeriodInActual*(#REF!&gt;0)</definedName>
    <definedName name="ActualBeyond">PeriodInActual*(#REF!&gt;0)</definedName>
    <definedName name="PercentComplete" localSheetId="0">'Project Planner'!PercentCompleteBeyond*'Project Planner'!PeriodInPlan</definedName>
    <definedName name="PercentComplete" localSheetId="6">'Project Planner (2)'!PercentCompleteBeyond*'Project Planner (2)'!PeriodInPlan</definedName>
    <definedName name="PercentComplete" localSheetId="1">'Project Planner (3)'!PercentCompleteBeyond*'Project Planner (3)'!PeriodInPlan</definedName>
    <definedName name="PercentComplete" localSheetId="7">PercentCompleteBeyond*PeriodInPlan</definedName>
    <definedName name="PercentComplete">PercentCompleteBeyond*PeriodInPlan</definedName>
    <definedName name="PercentCompleteBeyond" localSheetId="0">('Project Planner'!A$6=MEDIAN('Project Planner'!A$6,'Project Planner'!$E1,'Project Planner'!$E1+'Project Planner'!$F1)*('Project Planner'!$E1&gt;0))*(('Project Planner'!A$6&lt;(INT('Project Planner'!$E1+'Project Planner'!$F1*'Project Planner'!$G1)))+('Project Planner'!A$6='Project Planner'!$E1))*('Project Planner'!$G1&gt;0)</definedName>
    <definedName name="PercentCompleteBeyond" localSheetId="6">('Project Planner (2)'!A$6=MEDIAN('Project Planner (2)'!A$6,'Project Planner (2)'!$E1,'Project Planner (2)'!$E1+'Project Planner (2)'!$F1)*('Project Planner (2)'!$E1&gt;0))*(('Project Planner (2)'!A$6&lt;(INT('Project Planner (2)'!$E1+'Project Planner (2)'!$F1*'Project Planner (2)'!$G1)))+('Project Planner (2)'!A$6='Project Planner (2)'!$E1))*('Project Planner (2)'!$G1&gt;0)</definedName>
    <definedName name="PercentCompleteBeyond" localSheetId="1">('Project Planner (3)'!A$6=MEDIAN('Project Planner (3)'!A$6,'Project Planner (3)'!$F1,'Project Planner (3)'!$F1+'Project Planner (3)'!$G1)*('Project Planner (3)'!$F1&gt;0))*(('Project Planner (3)'!A$6&lt;(INT('Project Planner (3)'!$F1+'Project Planner (3)'!$G1*'Project Planner (3)'!$H1)))+('Project Planner (3)'!A$6='Project Planner (3)'!$F1))*('Project Planner (3)'!$H1&gt;0)</definedName>
    <definedName name="PercentCompleteBeyond">(#REF!=MEDIAN(#REF!,#REF!,#REF!+#REF!)*(#REF!&gt;0))*((#REF!&lt;(INT(#REF!+#REF!*#REF!)))+(#REF!=#REF!))*(#REF!&gt;0)</definedName>
    <definedName name="period_selected" localSheetId="0">'Project Planner'!$I$2</definedName>
    <definedName name="period_selected" localSheetId="6">'Project Planner (2)'!$I$2</definedName>
    <definedName name="period_selected" localSheetId="1">'Project Planner (3)'!$J$2</definedName>
    <definedName name="period_selected">#REF!</definedName>
    <definedName name="PeriodInActual" localSheetId="0">'Project Planner'!A$6=MEDIAN('Project Planner'!A$6,'Project Planner'!$E1,'Project Planner'!$E1+'Project Planner'!$F1-1)</definedName>
    <definedName name="PeriodInActual" localSheetId="6">'Project Planner (2)'!A$6=MEDIAN('Project Planner (2)'!A$6,'Project Planner (2)'!$E1,'Project Planner (2)'!$E1+'Project Planner (2)'!$F1-1)</definedName>
    <definedName name="PeriodInActual" localSheetId="1">'Project Planner (3)'!A$6=MEDIAN('Project Planner (3)'!A$6,'Project Planner (3)'!$F1,'Project Planner (3)'!$F1+'Project Planner (3)'!$G1-1)</definedName>
    <definedName name="PeriodInActual">#REF!=MEDIAN(#REF!,#REF!,#REF!+#REF!-1)</definedName>
    <definedName name="PeriodInPlan" localSheetId="0">'Project Planner'!A$6=MEDIAN('Project Planner'!A$6,'Project Planner'!$C1,'Project Planner'!$C1+'Project Planner'!$D1-1)</definedName>
    <definedName name="PeriodInPlan" localSheetId="6">'Project Planner (2)'!A$6=MEDIAN('Project Planner (2)'!A$6,'Project Planner (2)'!$C1,'Project Planner (2)'!$C1+'Project Planner (2)'!$D1-1)</definedName>
    <definedName name="PeriodInPlan" localSheetId="1">'Project Planner (3)'!A$6=MEDIAN('Project Planner (3)'!A$6,'Project Planner (3)'!$C1,'Project Planner (3)'!$C1+'Project Planner (3)'!$D1-1)</definedName>
    <definedName name="PeriodInPlan">#REF!=MEDIAN(#REF!,#REF!,#REF!+#REF!-1)</definedName>
    <definedName name="Plan" localSheetId="0">'Project Planner'!PeriodInPlan*('Project Planner'!$C1&gt;0)</definedName>
    <definedName name="Plan" localSheetId="6">'Project Planner (2)'!PeriodInPlan*('Project Planner (2)'!$C1&gt;0)</definedName>
    <definedName name="Plan" localSheetId="1">'Project Planner (3)'!PeriodInPlan*('Project Planner (3)'!$C1&gt;0)</definedName>
    <definedName name="Plan" localSheetId="7">PeriodInPlan*(#REF!&gt;0)</definedName>
    <definedName name="Plan">PeriodInPlan*(#REF!&gt;0)</definedName>
    <definedName name="_xlnm.Print_Titles" localSheetId="0">'Project Planner'!$3:$6</definedName>
    <definedName name="_xlnm.Print_Titles" localSheetId="6">'Project Planner (2)'!$3:$6</definedName>
    <definedName name="_xlnm.Print_Titles" localSheetId="1">'Project Planner (3)'!$3:$6</definedName>
    <definedName name="TitleRegion..BO60" localSheetId="0">'Project Planner'!$B$3:$B$6</definedName>
    <definedName name="TitleRegion..BO60" localSheetId="6">'Project Planner (2)'!$B$3:$B$6</definedName>
    <definedName name="TitleRegion..BO60" localSheetId="1">'Project Planner (3)'!$B$3:$B$6</definedName>
    <definedName name="TitleRegion..BO6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8" i="17" l="1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7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Y5" i="17"/>
  <c r="Z5" i="17"/>
  <c r="AA5" i="17"/>
  <c r="AB5" i="17"/>
  <c r="AC5" i="17"/>
  <c r="AD5" i="17"/>
  <c r="AE5" i="17"/>
  <c r="AF5" i="17"/>
  <c r="AG5" i="17"/>
  <c r="AH5" i="17"/>
  <c r="AI5" i="17"/>
  <c r="AJ5" i="17"/>
  <c r="AK5" i="17"/>
  <c r="AL5" i="17"/>
  <c r="AM5" i="17"/>
  <c r="AN5" i="17"/>
  <c r="AO5" i="17"/>
  <c r="AP5" i="17"/>
  <c r="AQ5" i="17"/>
  <c r="AR5" i="17"/>
  <c r="AS5" i="17"/>
  <c r="AT5" i="17"/>
  <c r="AU5" i="17"/>
  <c r="AV5" i="17"/>
  <c r="AW5" i="17"/>
  <c r="AX5" i="17"/>
  <c r="AY5" i="17"/>
  <c r="AZ5" i="17"/>
  <c r="BA5" i="17"/>
  <c r="BB5" i="17"/>
  <c r="BC5" i="17"/>
  <c r="BD5" i="17"/>
  <c r="BE5" i="17"/>
  <c r="BF5" i="17"/>
  <c r="BG5" i="17"/>
  <c r="BH5" i="17"/>
  <c r="BI5" i="17"/>
  <c r="BJ5" i="17"/>
  <c r="BK5" i="17"/>
  <c r="BL5" i="17"/>
  <c r="BM5" i="17"/>
  <c r="BN5" i="17"/>
  <c r="BO5" i="17"/>
  <c r="BP5" i="17"/>
  <c r="BQ5" i="17"/>
  <c r="BR5" i="17"/>
  <c r="BS5" i="17"/>
  <c r="BT5" i="17"/>
  <c r="BU5" i="17"/>
  <c r="BV5" i="17"/>
  <c r="BW5" i="17"/>
  <c r="BX5" i="17"/>
  <c r="BY5" i="17"/>
  <c r="BZ5" i="17"/>
  <c r="CA5" i="17"/>
  <c r="CB5" i="17"/>
  <c r="CC5" i="17"/>
  <c r="CD5" i="17"/>
  <c r="CE5" i="17"/>
  <c r="CF5" i="17"/>
  <c r="CG5" i="17"/>
  <c r="CH5" i="17"/>
  <c r="CI5" i="17"/>
  <c r="CJ5" i="17"/>
  <c r="CK5" i="17"/>
  <c r="CL5" i="17"/>
  <c r="CM5" i="17"/>
  <c r="CN5" i="17"/>
  <c r="CO5" i="17"/>
  <c r="CP5" i="17"/>
  <c r="CQ5" i="17"/>
  <c r="CR5" i="17"/>
  <c r="CS5" i="17"/>
  <c r="CT5" i="17"/>
  <c r="CU5" i="17"/>
  <c r="CV5" i="17"/>
  <c r="CW5" i="17"/>
  <c r="CX5" i="17"/>
  <c r="CY5" i="17"/>
  <c r="CZ5" i="17"/>
  <c r="DA5" i="17"/>
  <c r="DB5" i="17"/>
  <c r="DC5" i="17"/>
  <c r="DD5" i="17"/>
  <c r="DE5" i="17"/>
  <c r="DF5" i="17"/>
  <c r="DG5" i="17"/>
  <c r="DH5" i="17"/>
  <c r="DI5" i="17"/>
  <c r="DJ5" i="17"/>
  <c r="DK5" i="17"/>
  <c r="DL5" i="17"/>
  <c r="DM5" i="17"/>
  <c r="DN5" i="17"/>
  <c r="DO5" i="17"/>
  <c r="DP5" i="17"/>
  <c r="DQ5" i="17"/>
  <c r="DR5" i="17"/>
  <c r="DS5" i="17"/>
  <c r="DT5" i="17"/>
  <c r="DU5" i="17"/>
  <c r="DV5" i="17"/>
  <c r="DW5" i="17"/>
  <c r="DX5" i="17"/>
  <c r="DY5" i="17"/>
  <c r="DZ5" i="17"/>
  <c r="EA5" i="17"/>
  <c r="EB5" i="17"/>
  <c r="EC5" i="17"/>
  <c r="ED5" i="17"/>
  <c r="EE5" i="17"/>
  <c r="EF5" i="17"/>
  <c r="EG5" i="17"/>
  <c r="EH5" i="17"/>
  <c r="EI5" i="17"/>
  <c r="EJ5" i="17"/>
  <c r="EK5" i="17"/>
  <c r="EL5" i="17"/>
  <c r="EM5" i="17"/>
  <c r="EN5" i="17"/>
  <c r="EO5" i="17"/>
  <c r="EP5" i="17"/>
  <c r="EQ5" i="17"/>
  <c r="ER5" i="17"/>
  <c r="ES5" i="17"/>
  <c r="ET5" i="17"/>
  <c r="EU5" i="17"/>
  <c r="EV5" i="17"/>
  <c r="EW5" i="17"/>
  <c r="EX5" i="17"/>
  <c r="EY5" i="17"/>
  <c r="EZ5" i="17"/>
  <c r="FA5" i="17"/>
  <c r="FB5" i="17"/>
  <c r="FC5" i="17"/>
  <c r="FD5" i="17"/>
  <c r="FE5" i="17"/>
  <c r="FF5" i="17"/>
  <c r="FG5" i="17"/>
  <c r="FH5" i="17"/>
  <c r="FI5" i="17"/>
  <c r="FJ5" i="17"/>
  <c r="FK5" i="17"/>
  <c r="FL5" i="17"/>
  <c r="FM5" i="17"/>
  <c r="FN5" i="17"/>
  <c r="FO5" i="17"/>
  <c r="FP5" i="17"/>
  <c r="FQ5" i="17"/>
  <c r="FR5" i="17"/>
  <c r="FS5" i="17"/>
  <c r="FT5" i="17"/>
  <c r="FU5" i="17"/>
  <c r="FV5" i="17"/>
  <c r="FW5" i="17"/>
  <c r="FX5" i="17"/>
  <c r="FY5" i="17"/>
  <c r="FZ5" i="17"/>
  <c r="GA5" i="17"/>
  <c r="GB5" i="17"/>
  <c r="GC5" i="17"/>
  <c r="GD5" i="17"/>
  <c r="GE5" i="17"/>
  <c r="GF5" i="17"/>
  <c r="GG5" i="17"/>
  <c r="J5" i="17"/>
  <c r="P18" i="13"/>
  <c r="P19" i="13"/>
  <c r="P20" i="13"/>
  <c r="P21" i="13"/>
  <c r="P22" i="13"/>
  <c r="P23" i="13"/>
  <c r="P17" i="13"/>
  <c r="K18" i="13"/>
  <c r="K19" i="13"/>
  <c r="K20" i="13"/>
  <c r="K21" i="13"/>
  <c r="K17" i="13"/>
  <c r="N25" i="13"/>
  <c r="M23" i="13"/>
  <c r="L23" i="13"/>
  <c r="M22" i="13"/>
  <c r="M21" i="13"/>
  <c r="L22" i="13"/>
  <c r="L21" i="13"/>
  <c r="M20" i="13"/>
  <c r="N20" i="13" s="1"/>
  <c r="M19" i="13"/>
  <c r="N19" i="13"/>
  <c r="M18" i="13"/>
  <c r="N18" i="13"/>
  <c r="N17" i="13"/>
  <c r="O18" i="13"/>
  <c r="O19" i="13"/>
  <c r="O20" i="13"/>
  <c r="O21" i="13"/>
  <c r="O22" i="13"/>
  <c r="O23" i="13"/>
  <c r="O17" i="13"/>
  <c r="L20" i="13"/>
  <c r="L19" i="13"/>
  <c r="M17" i="13"/>
  <c r="L18" i="13"/>
  <c r="L17" i="13"/>
  <c r="C17" i="4"/>
  <c r="C18" i="4" s="1"/>
  <c r="C19" i="4" s="1"/>
  <c r="C20" i="4" s="1"/>
  <c r="C18" i="6"/>
  <c r="C19" i="6"/>
  <c r="C20" i="6"/>
  <c r="C21" i="6"/>
  <c r="C22" i="6"/>
  <c r="D22" i="6" s="1"/>
  <c r="C23" i="6"/>
  <c r="C24" i="6"/>
  <c r="C25" i="6"/>
  <c r="C26" i="6"/>
  <c r="C17" i="6"/>
  <c r="AF3" i="13"/>
  <c r="D4" i="13" s="1"/>
  <c r="C4" i="13" s="1"/>
  <c r="AF2" i="13"/>
  <c r="R3" i="13" s="1"/>
  <c r="AF1" i="13"/>
  <c r="R6" i="13" s="1"/>
  <c r="W6" i="13" s="1"/>
  <c r="D22" i="13"/>
  <c r="C25" i="13"/>
  <c r="D23" i="13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CA5" i="4"/>
  <c r="CB5" i="4"/>
  <c r="CC5" i="4"/>
  <c r="CD5" i="4"/>
  <c r="CE5" i="4"/>
  <c r="CF5" i="4"/>
  <c r="CG5" i="4"/>
  <c r="CH5" i="4"/>
  <c r="CI5" i="4"/>
  <c r="CJ5" i="4"/>
  <c r="CK5" i="4"/>
  <c r="CL5" i="4"/>
  <c r="CM5" i="4"/>
  <c r="CN5" i="4"/>
  <c r="CO5" i="4"/>
  <c r="CP5" i="4"/>
  <c r="CQ5" i="4"/>
  <c r="CR5" i="4"/>
  <c r="CS5" i="4"/>
  <c r="CT5" i="4"/>
  <c r="CU5" i="4"/>
  <c r="CV5" i="4"/>
  <c r="CW5" i="4"/>
  <c r="CX5" i="4"/>
  <c r="CY5" i="4"/>
  <c r="CZ5" i="4"/>
  <c r="DA5" i="4"/>
  <c r="DB5" i="4"/>
  <c r="DC5" i="4"/>
  <c r="DD5" i="4"/>
  <c r="DE5" i="4"/>
  <c r="DF5" i="4"/>
  <c r="DG5" i="4"/>
  <c r="DH5" i="4"/>
  <c r="DI5" i="4"/>
  <c r="DJ5" i="4"/>
  <c r="DK5" i="4"/>
  <c r="DL5" i="4"/>
  <c r="DM5" i="4"/>
  <c r="DN5" i="4"/>
  <c r="DO5" i="4"/>
  <c r="DP5" i="4"/>
  <c r="DQ5" i="4"/>
  <c r="DR5" i="4"/>
  <c r="DS5" i="4"/>
  <c r="DT5" i="4"/>
  <c r="DU5" i="4"/>
  <c r="DV5" i="4"/>
  <c r="DW5" i="4"/>
  <c r="DX5" i="4"/>
  <c r="DY5" i="4"/>
  <c r="DZ5" i="4"/>
  <c r="EA5" i="4"/>
  <c r="EB5" i="4"/>
  <c r="EC5" i="4"/>
  <c r="ED5" i="4"/>
  <c r="EE5" i="4"/>
  <c r="EF5" i="4"/>
  <c r="EG5" i="4"/>
  <c r="EH5" i="4"/>
  <c r="EI5" i="4"/>
  <c r="EJ5" i="4"/>
  <c r="EK5" i="4"/>
  <c r="EL5" i="4"/>
  <c r="EM5" i="4"/>
  <c r="EN5" i="4"/>
  <c r="EO5" i="4"/>
  <c r="EP5" i="4"/>
  <c r="EQ5" i="4"/>
  <c r="ER5" i="4"/>
  <c r="ES5" i="4"/>
  <c r="ET5" i="4"/>
  <c r="EU5" i="4"/>
  <c r="EV5" i="4"/>
  <c r="EW5" i="4"/>
  <c r="EX5" i="4"/>
  <c r="EY5" i="4"/>
  <c r="EZ5" i="4"/>
  <c r="FA5" i="4"/>
  <c r="FB5" i="4"/>
  <c r="FC5" i="4"/>
  <c r="FD5" i="4"/>
  <c r="FE5" i="4"/>
  <c r="FF5" i="4"/>
  <c r="FG5" i="4"/>
  <c r="FH5" i="4"/>
  <c r="FI5" i="4"/>
  <c r="FJ5" i="4"/>
  <c r="FK5" i="4"/>
  <c r="FL5" i="4"/>
  <c r="FM5" i="4"/>
  <c r="FN5" i="4"/>
  <c r="FO5" i="4"/>
  <c r="FP5" i="4"/>
  <c r="FQ5" i="4"/>
  <c r="FR5" i="4"/>
  <c r="FS5" i="4"/>
  <c r="FT5" i="4"/>
  <c r="FU5" i="4"/>
  <c r="FV5" i="4"/>
  <c r="FW5" i="4"/>
  <c r="FX5" i="4"/>
  <c r="FY5" i="4"/>
  <c r="FZ5" i="4"/>
  <c r="GA5" i="4"/>
  <c r="GB5" i="4"/>
  <c r="GC5" i="4"/>
  <c r="GD5" i="4"/>
  <c r="GE5" i="4"/>
  <c r="GF5" i="4"/>
  <c r="I5" i="4"/>
  <c r="Q7" i="6"/>
  <c r="D7" i="6"/>
  <c r="R4" i="6"/>
  <c r="W4" i="6" s="1"/>
  <c r="D4" i="6"/>
  <c r="C25" i="12"/>
  <c r="C26" i="12" s="1"/>
  <c r="D23" i="12"/>
  <c r="C13" i="12"/>
  <c r="C12" i="12"/>
  <c r="C11" i="12"/>
  <c r="C10" i="12"/>
  <c r="R7" i="12"/>
  <c r="W7" i="12" s="1"/>
  <c r="R6" i="12"/>
  <c r="S6" i="12" s="1"/>
  <c r="T6" i="12" s="1"/>
  <c r="U6" i="12" s="1"/>
  <c r="AB6" i="12" s="1"/>
  <c r="AC6" i="12" s="1"/>
  <c r="X5" i="12"/>
  <c r="Y5" i="12" s="1"/>
  <c r="Z5" i="12" s="1"/>
  <c r="AA5" i="12" s="1"/>
  <c r="R5" i="12"/>
  <c r="S5" i="12" s="1"/>
  <c r="T5" i="12" s="1"/>
  <c r="E4" i="12"/>
  <c r="F4" i="12" s="1"/>
  <c r="G4" i="12" s="1"/>
  <c r="H4" i="12" s="1"/>
  <c r="I4" i="12" s="1"/>
  <c r="D4" i="12"/>
  <c r="C4" i="12" s="1"/>
  <c r="E3" i="12"/>
  <c r="F3" i="12" s="1"/>
  <c r="G3" i="12" s="1"/>
  <c r="H3" i="12" s="1"/>
  <c r="I3" i="12" s="1"/>
  <c r="D3" i="12"/>
  <c r="P3" i="12" s="1"/>
  <c r="Q3" i="12" s="1"/>
  <c r="C3" i="12"/>
  <c r="C10" i="6"/>
  <c r="C11" i="6"/>
  <c r="C12" i="6"/>
  <c r="C13" i="6"/>
  <c r="N23" i="13" l="1"/>
  <c r="N21" i="13"/>
  <c r="N22" i="13"/>
  <c r="R7" i="13"/>
  <c r="S7" i="13" s="1"/>
  <c r="D23" i="6"/>
  <c r="W7" i="13"/>
  <c r="D3" i="13"/>
  <c r="C3" i="13" s="1"/>
  <c r="S3" i="13"/>
  <c r="T3" i="13" s="1"/>
  <c r="U3" i="13" s="1"/>
  <c r="W3" i="13"/>
  <c r="R4" i="13"/>
  <c r="W4" i="13" s="1"/>
  <c r="D5" i="13"/>
  <c r="R8" i="13"/>
  <c r="T7" i="13"/>
  <c r="U7" i="13" s="1"/>
  <c r="AB7" i="13" s="1"/>
  <c r="AC7" i="13" s="1"/>
  <c r="E4" i="13"/>
  <c r="F4" i="13" s="1"/>
  <c r="G4" i="13" s="1"/>
  <c r="H4" i="13" s="1"/>
  <c r="I4" i="13" s="1"/>
  <c r="L4" i="13" s="1"/>
  <c r="M4" i="13" s="1"/>
  <c r="N4" i="13" s="1"/>
  <c r="O4" i="13" s="1"/>
  <c r="E3" i="13"/>
  <c r="F3" i="13" s="1"/>
  <c r="G3" i="13" s="1"/>
  <c r="H3" i="13" s="1"/>
  <c r="I3" i="13" s="1"/>
  <c r="L3" i="13" s="1"/>
  <c r="M3" i="13" s="1"/>
  <c r="N3" i="13" s="1"/>
  <c r="O3" i="13" s="1"/>
  <c r="S6" i="13"/>
  <c r="T6" i="13" s="1"/>
  <c r="U6" i="13" s="1"/>
  <c r="AB6" i="13" s="1"/>
  <c r="AC6" i="13" s="1"/>
  <c r="C4" i="6"/>
  <c r="E4" i="6"/>
  <c r="F4" i="6" s="1"/>
  <c r="G4" i="6" s="1"/>
  <c r="H4" i="6" s="1"/>
  <c r="I4" i="6" s="1"/>
  <c r="D3" i="6"/>
  <c r="R3" i="6"/>
  <c r="W3" i="6" s="1"/>
  <c r="W5" i="12"/>
  <c r="J3" i="12"/>
  <c r="K3" i="12" s="1"/>
  <c r="X3" i="12" s="1"/>
  <c r="Y3" i="12" s="1"/>
  <c r="Z3" i="12" s="1"/>
  <c r="AA3" i="12" s="1"/>
  <c r="L3" i="12"/>
  <c r="M3" i="12" s="1"/>
  <c r="N3" i="12" s="1"/>
  <c r="O3" i="12" s="1"/>
  <c r="L4" i="12"/>
  <c r="M4" i="12" s="1"/>
  <c r="N4" i="12" s="1"/>
  <c r="O4" i="12" s="1"/>
  <c r="D5" i="12" s="1"/>
  <c r="J4" i="12"/>
  <c r="K4" i="12" s="1"/>
  <c r="X4" i="12" s="1"/>
  <c r="Y4" i="12" s="1"/>
  <c r="U5" i="12"/>
  <c r="AB5" i="12" s="1"/>
  <c r="AC5" i="12" s="1"/>
  <c r="R3" i="12"/>
  <c r="R4" i="12"/>
  <c r="S7" i="12"/>
  <c r="W6" i="12"/>
  <c r="C3" i="6"/>
  <c r="S4" i="6"/>
  <c r="T4" i="6" s="1"/>
  <c r="U4" i="6" s="1"/>
  <c r="P3" i="13" l="1"/>
  <c r="Q3" i="13" s="1"/>
  <c r="S4" i="13"/>
  <c r="T4" i="13" s="1"/>
  <c r="U4" i="13" s="1"/>
  <c r="S8" i="13"/>
  <c r="W8" i="13"/>
  <c r="E5" i="13"/>
  <c r="F5" i="13" s="1"/>
  <c r="D6" i="13"/>
  <c r="C5" i="13"/>
  <c r="X4" i="13"/>
  <c r="Y4" i="13" s="1"/>
  <c r="AB4" i="13"/>
  <c r="AC4" i="13" s="1"/>
  <c r="X3" i="13"/>
  <c r="Y3" i="13" s="1"/>
  <c r="Z3" i="13" s="1"/>
  <c r="AA3" i="13" s="1"/>
  <c r="AB3" i="13"/>
  <c r="AC3" i="13" s="1"/>
  <c r="P3" i="6"/>
  <c r="Q3" i="6" s="1"/>
  <c r="E3" i="6"/>
  <c r="F3" i="6" s="1"/>
  <c r="G3" i="6" s="1"/>
  <c r="H3" i="6" s="1"/>
  <c r="I3" i="6" s="1"/>
  <c r="L3" i="6" s="1"/>
  <c r="X4" i="6"/>
  <c r="AB4" i="6"/>
  <c r="AC4" i="6" s="1"/>
  <c r="W4" i="12"/>
  <c r="S4" i="12"/>
  <c r="T4" i="12" s="1"/>
  <c r="U4" i="12" s="1"/>
  <c r="AB4" i="12" s="1"/>
  <c r="AC4" i="12" s="1"/>
  <c r="S3" i="12"/>
  <c r="T3" i="12" s="1"/>
  <c r="W3" i="12"/>
  <c r="R8" i="12"/>
  <c r="T7" i="12"/>
  <c r="U7" i="12" s="1"/>
  <c r="AB7" i="12" s="1"/>
  <c r="AC7" i="12" s="1"/>
  <c r="C5" i="12"/>
  <c r="D6" i="12"/>
  <c r="E5" i="12"/>
  <c r="F5" i="12" s="1"/>
  <c r="R7" i="6"/>
  <c r="W7" i="6" s="1"/>
  <c r="R6" i="6"/>
  <c r="W6" i="6" s="1"/>
  <c r="L4" i="6"/>
  <c r="M4" i="6" s="1"/>
  <c r="N4" i="6" s="1"/>
  <c r="O4" i="6" s="1"/>
  <c r="Y4" i="6"/>
  <c r="E6" i="13" l="1"/>
  <c r="F6" i="13" s="1"/>
  <c r="C6" i="13"/>
  <c r="G5" i="13"/>
  <c r="P5" i="13"/>
  <c r="Q5" i="13" s="1"/>
  <c r="P7" i="13" s="1"/>
  <c r="Q7" i="13" s="1"/>
  <c r="D8" i="13" s="1"/>
  <c r="R9" i="13"/>
  <c r="T8" i="13"/>
  <c r="U8" i="13" s="1"/>
  <c r="AB8" i="13" s="1"/>
  <c r="AC8" i="13" s="1"/>
  <c r="E6" i="12"/>
  <c r="F6" i="12" s="1"/>
  <c r="C6" i="12"/>
  <c r="S8" i="12"/>
  <c r="W8" i="12"/>
  <c r="D7" i="12"/>
  <c r="U3" i="12"/>
  <c r="AB3" i="12" s="1"/>
  <c r="AC3" i="12" s="1"/>
  <c r="G5" i="12"/>
  <c r="H5" i="12" s="1"/>
  <c r="I5" i="12" s="1"/>
  <c r="L5" i="12" s="1"/>
  <c r="M5" i="12" s="1"/>
  <c r="N5" i="12" s="1"/>
  <c r="O5" i="12" s="1"/>
  <c r="P5" i="12"/>
  <c r="Q5" i="12" s="1"/>
  <c r="P7" i="12" s="1"/>
  <c r="Q7" i="12" s="1"/>
  <c r="D8" i="12" s="1"/>
  <c r="S3" i="6"/>
  <c r="T3" i="6" s="1"/>
  <c r="D5" i="6" s="1"/>
  <c r="C5" i="6" s="1"/>
  <c r="S7" i="6"/>
  <c r="T7" i="6" s="1"/>
  <c r="U7" i="6" s="1"/>
  <c r="AB7" i="6" s="1"/>
  <c r="AC7" i="6" s="1"/>
  <c r="S6" i="6"/>
  <c r="T6" i="6" s="1"/>
  <c r="U6" i="6" s="1"/>
  <c r="AB6" i="6" s="1"/>
  <c r="AC6" i="6" s="1"/>
  <c r="M3" i="6"/>
  <c r="N3" i="6" s="1"/>
  <c r="O3" i="6" s="1"/>
  <c r="R8" i="6" l="1"/>
  <c r="W8" i="6" s="1"/>
  <c r="E8" i="13"/>
  <c r="C8" i="13"/>
  <c r="F8" i="13"/>
  <c r="G8" i="13" s="1"/>
  <c r="H8" i="13" s="1"/>
  <c r="I8" i="13" s="1"/>
  <c r="P8" i="13"/>
  <c r="Q8" i="13" s="1"/>
  <c r="D9" i="13" s="1"/>
  <c r="H5" i="13"/>
  <c r="I5" i="13" s="1"/>
  <c r="R5" i="13"/>
  <c r="S9" i="13"/>
  <c r="T9" i="13" s="1"/>
  <c r="U9" i="13" s="1"/>
  <c r="AB9" i="13" s="1"/>
  <c r="AC9" i="13" s="1"/>
  <c r="W9" i="13"/>
  <c r="G6" i="13"/>
  <c r="H6" i="13" s="1"/>
  <c r="I6" i="13" s="1"/>
  <c r="P6" i="13"/>
  <c r="Q6" i="13" s="1"/>
  <c r="D7" i="13" s="1"/>
  <c r="E5" i="6"/>
  <c r="F5" i="6" s="1"/>
  <c r="G5" i="6" s="1"/>
  <c r="R5" i="6" s="1"/>
  <c r="S5" i="6" s="1"/>
  <c r="G6" i="12"/>
  <c r="H6" i="12" s="1"/>
  <c r="I6" i="12" s="1"/>
  <c r="P6" i="12"/>
  <c r="Q6" i="12" s="1"/>
  <c r="E8" i="12"/>
  <c r="C8" i="12"/>
  <c r="F8" i="12"/>
  <c r="G8" i="12" s="1"/>
  <c r="H8" i="12" s="1"/>
  <c r="I8" i="12" s="1"/>
  <c r="P8" i="12"/>
  <c r="Q8" i="12" s="1"/>
  <c r="D9" i="12" s="1"/>
  <c r="F7" i="12"/>
  <c r="G7" i="12" s="1"/>
  <c r="H7" i="12" s="1"/>
  <c r="E7" i="12"/>
  <c r="C7" i="12"/>
  <c r="R9" i="12"/>
  <c r="T8" i="12"/>
  <c r="U8" i="12" s="1"/>
  <c r="AB8" i="12" s="1"/>
  <c r="AC8" i="12" s="1"/>
  <c r="U3" i="6"/>
  <c r="S8" i="6"/>
  <c r="D6" i="6"/>
  <c r="C9" i="13" l="1"/>
  <c r="E9" i="13"/>
  <c r="F9" i="13" s="1"/>
  <c r="G9" i="13" s="1"/>
  <c r="H9" i="13" s="1"/>
  <c r="I9" i="13" s="1"/>
  <c r="P9" i="13"/>
  <c r="Q9" i="13" s="1"/>
  <c r="L5" i="13"/>
  <c r="M5" i="13" s="1"/>
  <c r="N5" i="13" s="1"/>
  <c r="O5" i="13" s="1"/>
  <c r="T5" i="13"/>
  <c r="U5" i="13" s="1"/>
  <c r="J8" i="13"/>
  <c r="K8" i="13" s="1"/>
  <c r="X8" i="13" s="1"/>
  <c r="Y8" i="13" s="1"/>
  <c r="Z8" i="13" s="1"/>
  <c r="AA8" i="13" s="1"/>
  <c r="L8" i="13"/>
  <c r="M8" i="13" s="1"/>
  <c r="N8" i="13" s="1"/>
  <c r="O8" i="13" s="1"/>
  <c r="S5" i="13"/>
  <c r="W5" i="13"/>
  <c r="F7" i="13"/>
  <c r="G7" i="13" s="1"/>
  <c r="H7" i="13" s="1"/>
  <c r="E7" i="13"/>
  <c r="C7" i="13"/>
  <c r="J6" i="13"/>
  <c r="K6" i="13" s="1"/>
  <c r="X6" i="13" s="1"/>
  <c r="Y6" i="13" s="1"/>
  <c r="Z6" i="13" s="1"/>
  <c r="AA6" i="13" s="1"/>
  <c r="L6" i="13"/>
  <c r="M6" i="13" s="1"/>
  <c r="N6" i="13" s="1"/>
  <c r="O6" i="13" s="1"/>
  <c r="P5" i="6"/>
  <c r="Q5" i="6" s="1"/>
  <c r="P7" i="6" s="1"/>
  <c r="D8" i="6" s="1"/>
  <c r="F8" i="6" s="1"/>
  <c r="G8" i="6" s="1"/>
  <c r="H8" i="6" s="1"/>
  <c r="I8" i="6" s="1"/>
  <c r="W5" i="6"/>
  <c r="H5" i="6"/>
  <c r="I5" i="6" s="1"/>
  <c r="L5" i="6" s="1"/>
  <c r="M5" i="6" s="1"/>
  <c r="N5" i="6" s="1"/>
  <c r="O5" i="6" s="1"/>
  <c r="X3" i="6"/>
  <c r="Y3" i="6" s="1"/>
  <c r="Z3" i="6" s="1"/>
  <c r="AA3" i="6" s="1"/>
  <c r="AB3" i="6"/>
  <c r="AC3" i="6" s="1"/>
  <c r="J6" i="12"/>
  <c r="K6" i="12" s="1"/>
  <c r="X6" i="12" s="1"/>
  <c r="Y6" i="12" s="1"/>
  <c r="Z6" i="12" s="1"/>
  <c r="AA6" i="12" s="1"/>
  <c r="L6" i="12"/>
  <c r="M6" i="12" s="1"/>
  <c r="N6" i="12" s="1"/>
  <c r="O6" i="12" s="1"/>
  <c r="L7" i="12"/>
  <c r="I7" i="12"/>
  <c r="J7" i="12" s="1"/>
  <c r="K7" i="12" s="1"/>
  <c r="X7" i="12" s="1"/>
  <c r="Y7" i="12" s="1"/>
  <c r="Z7" i="12" s="1"/>
  <c r="AA7" i="12" s="1"/>
  <c r="C9" i="12"/>
  <c r="P9" i="12"/>
  <c r="Q9" i="12" s="1"/>
  <c r="E9" i="12"/>
  <c r="F9" i="12" s="1"/>
  <c r="G9" i="12" s="1"/>
  <c r="H9" i="12" s="1"/>
  <c r="I9" i="12" s="1"/>
  <c r="L8" i="12"/>
  <c r="M8" i="12" s="1"/>
  <c r="N8" i="12" s="1"/>
  <c r="O8" i="12" s="1"/>
  <c r="J8" i="12"/>
  <c r="K8" i="12" s="1"/>
  <c r="X8" i="12" s="1"/>
  <c r="Y8" i="12" s="1"/>
  <c r="Z8" i="12" s="1"/>
  <c r="AA8" i="12" s="1"/>
  <c r="S9" i="12"/>
  <c r="T9" i="12" s="1"/>
  <c r="U9" i="12" s="1"/>
  <c r="AB9" i="12" s="1"/>
  <c r="AC9" i="12" s="1"/>
  <c r="W9" i="12"/>
  <c r="C6" i="6"/>
  <c r="E6" i="6"/>
  <c r="F6" i="6" s="1"/>
  <c r="T8" i="6"/>
  <c r="U8" i="6" s="1"/>
  <c r="AB8" i="6" s="1"/>
  <c r="AC8" i="6" s="1"/>
  <c r="R9" i="6"/>
  <c r="W9" i="6" s="1"/>
  <c r="AB5" i="13" l="1"/>
  <c r="AC5" i="13" s="1"/>
  <c r="X5" i="13"/>
  <c r="Y5" i="13" s="1"/>
  <c r="Z5" i="13" s="1"/>
  <c r="AA5" i="13" s="1"/>
  <c r="L9" i="13"/>
  <c r="J9" i="13"/>
  <c r="K9" i="13" s="1"/>
  <c r="X9" i="13" s="1"/>
  <c r="Y9" i="13" s="1"/>
  <c r="Z9" i="13" s="1"/>
  <c r="AA9" i="13" s="1"/>
  <c r="I7" i="13"/>
  <c r="J7" i="13" s="1"/>
  <c r="K7" i="13" s="1"/>
  <c r="X7" i="13" s="1"/>
  <c r="Y7" i="13" s="1"/>
  <c r="Z7" i="13" s="1"/>
  <c r="AA7" i="13" s="1"/>
  <c r="L7" i="13"/>
  <c r="E8" i="6"/>
  <c r="C8" i="6"/>
  <c r="P8" i="6"/>
  <c r="Q8" i="6" s="1"/>
  <c r="D9" i="6" s="1"/>
  <c r="P9" i="6" s="1"/>
  <c r="Q9" i="6" s="1"/>
  <c r="T5" i="6"/>
  <c r="U5" i="6" s="1"/>
  <c r="X5" i="6"/>
  <c r="Y5" i="6" s="1"/>
  <c r="Z5" i="6" s="1"/>
  <c r="AA5" i="6" s="1"/>
  <c r="J9" i="12"/>
  <c r="K9" i="12" s="1"/>
  <c r="X9" i="12" s="1"/>
  <c r="Y9" i="12" s="1"/>
  <c r="Z9" i="12" s="1"/>
  <c r="AA9" i="12" s="1"/>
  <c r="L9" i="12"/>
  <c r="M7" i="12"/>
  <c r="N7" i="12"/>
  <c r="O7" i="12" s="1"/>
  <c r="L8" i="6"/>
  <c r="M8" i="6" s="1"/>
  <c r="N8" i="6" s="1"/>
  <c r="O8" i="6" s="1"/>
  <c r="J8" i="6"/>
  <c r="K8" i="6" s="1"/>
  <c r="X8" i="6" s="1"/>
  <c r="Y8" i="6" s="1"/>
  <c r="Z8" i="6" s="1"/>
  <c r="AA8" i="6" s="1"/>
  <c r="P6" i="6"/>
  <c r="Q6" i="6" s="1"/>
  <c r="G6" i="6"/>
  <c r="H6" i="6" s="1"/>
  <c r="I6" i="6" s="1"/>
  <c r="S9" i="6"/>
  <c r="T9" i="6" s="1"/>
  <c r="U9" i="6" s="1"/>
  <c r="AB9" i="6" s="1"/>
  <c r="AC9" i="6" s="1"/>
  <c r="N9" i="13" l="1"/>
  <c r="O9" i="13" s="1"/>
  <c r="M9" i="13"/>
  <c r="N7" i="13"/>
  <c r="O7" i="13" s="1"/>
  <c r="M7" i="13"/>
  <c r="C9" i="6"/>
  <c r="E9" i="6"/>
  <c r="F9" i="6" s="1"/>
  <c r="G9" i="6" s="1"/>
  <c r="H9" i="6" s="1"/>
  <c r="I9" i="6" s="1"/>
  <c r="AB5" i="6"/>
  <c r="AC5" i="6" s="1"/>
  <c r="M9" i="12"/>
  <c r="N9" i="12"/>
  <c r="O9" i="12" s="1"/>
  <c r="L6" i="6"/>
  <c r="M6" i="6" s="1"/>
  <c r="N6" i="6" s="1"/>
  <c r="O6" i="6" s="1"/>
  <c r="J6" i="6"/>
  <c r="K6" i="6" s="1"/>
  <c r="X6" i="6" s="1"/>
  <c r="Y6" i="6" s="1"/>
  <c r="Z6" i="6" s="1"/>
  <c r="AA6" i="6" s="1"/>
  <c r="J9" i="6"/>
  <c r="K9" i="6" s="1"/>
  <c r="X9" i="6" s="1"/>
  <c r="Y9" i="6" s="1"/>
  <c r="Z9" i="6" s="1"/>
  <c r="AA9" i="6" s="1"/>
  <c r="L9" i="6"/>
  <c r="E7" i="6" l="1"/>
  <c r="C7" i="6"/>
  <c r="F7" i="6"/>
  <c r="G7" i="6" s="1"/>
  <c r="H7" i="6" s="1"/>
  <c r="M9" i="6"/>
  <c r="N9" i="6"/>
  <c r="O9" i="6" s="1"/>
  <c r="L7" i="6" l="1"/>
  <c r="I7" i="6"/>
  <c r="J7" i="6" s="1"/>
  <c r="K7" i="6" s="1"/>
  <c r="X7" i="6" s="1"/>
  <c r="Y7" i="6" s="1"/>
  <c r="Z7" i="6" s="1"/>
  <c r="AA7" i="6" s="1"/>
  <c r="N7" i="6" l="1"/>
  <c r="O7" i="6" s="1"/>
  <c r="M7" i="6"/>
</calcChain>
</file>

<file path=xl/sharedStrings.xml><?xml version="1.0" encoding="utf-8"?>
<sst xmlns="http://schemas.openxmlformats.org/spreadsheetml/2006/main" count="494" uniqueCount="199">
  <si>
    <t>ACTIVITY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</si>
  <si>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</si>
  <si>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</si>
  <si>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</si>
  <si>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</si>
  <si>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</si>
  <si>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</si>
  <si>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</si>
  <si>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</si>
  <si>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</si>
  <si>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</si>
  <si>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Select a period to highlight at right.  A legend describing the charting follows.</t>
  </si>
  <si>
    <t>WEEK</t>
  </si>
  <si>
    <t>AIR TERMINALS INSTALLATION</t>
  </si>
  <si>
    <t>TESTING &amp; COMMISSIONING</t>
  </si>
  <si>
    <t>HANDOVER</t>
  </si>
  <si>
    <t>SHOP DRAWING APPROVAL</t>
  </si>
  <si>
    <t>COPPER PIPE WORK</t>
  </si>
  <si>
    <t>DRAIN PIPE WORK</t>
  </si>
  <si>
    <t>MACHINE INSTALLATION</t>
  </si>
  <si>
    <t>START</t>
  </si>
  <si>
    <t>END</t>
  </si>
  <si>
    <t>SHOP DRAWING SUBMISSION</t>
  </si>
  <si>
    <t>MARKING</t>
  </si>
  <si>
    <t>CEILING OPENING</t>
  </si>
  <si>
    <t>PROCUREMENT &amp; HR SECTION GF</t>
  </si>
  <si>
    <t>PROCUREMENT &amp; HR SECTION MF</t>
  </si>
  <si>
    <t>ENGINEERING WORKSHOP GF</t>
  </si>
  <si>
    <t>SEWING CANTEEN &amp; OFFICE MZ</t>
  </si>
  <si>
    <t>COPPER PIPING</t>
  </si>
  <si>
    <t>DRAIN PIPE</t>
  </si>
  <si>
    <t>NETWORKING</t>
  </si>
  <si>
    <t>DUCTING</t>
  </si>
  <si>
    <t>WORK / ZONE</t>
  </si>
  <si>
    <t>ELECTRICAL CABLE WORK</t>
  </si>
  <si>
    <t>CANTEEN &amp; OFFICE</t>
  </si>
  <si>
    <t>SPARE PARTS WAREHOUSE</t>
  </si>
  <si>
    <t>COLOR SERVICE ZONE</t>
  </si>
  <si>
    <t xml:space="preserve">SEWING FLOOR </t>
  </si>
  <si>
    <t>CANTEEN &amp; SUBSTATION</t>
  </si>
  <si>
    <t>Ceiling Opening</t>
  </si>
  <si>
    <t>START DATE</t>
  </si>
  <si>
    <t>MACHINE ARRIVAL</t>
  </si>
  <si>
    <t>PRESSURE TESTING-1</t>
  </si>
  <si>
    <t>PRESSURE TESTING-2</t>
  </si>
  <si>
    <t>CEILING/ ACP OPENING</t>
  </si>
  <si>
    <t>CEILING/ ACP CLOSING</t>
  </si>
  <si>
    <t>SUPPORT WORK</t>
  </si>
  <si>
    <t xml:space="preserve">STOCK MACHINE </t>
  </si>
  <si>
    <t>CUTTING &amp; MAINTENANCE WORKSHOP</t>
  </si>
  <si>
    <t>KNITTING &amp; MAINT WORKSHOP</t>
  </si>
  <si>
    <t>Site Assessment</t>
  </si>
  <si>
    <t>Technical Discussion</t>
  </si>
  <si>
    <t>Drawing Approval</t>
  </si>
  <si>
    <t>Local Material Requisition</t>
  </si>
  <si>
    <t>Local Material Delivery</t>
  </si>
  <si>
    <t>Ready Stock Machine Delivery</t>
  </si>
  <si>
    <t>Import Machine Delivery</t>
  </si>
  <si>
    <t>Site Mobilization</t>
  </si>
  <si>
    <t>Induction</t>
  </si>
  <si>
    <t>Start</t>
  </si>
  <si>
    <t>PO RECEIVE</t>
  </si>
  <si>
    <t>ORDER PLACEMENT</t>
  </si>
  <si>
    <t>CONTRACT SIGNING</t>
  </si>
  <si>
    <t>DELIVERY OF LOCAL MATERIALS</t>
  </si>
  <si>
    <t>DELIVERY OF STOCK MACHINES</t>
  </si>
  <si>
    <t>IMPORT MATERIALS READINESS</t>
  </si>
  <si>
    <t>IMPORT MATERIALS SHIPMENT</t>
  </si>
  <si>
    <t>IMPORT MATERIALS ARRIVAL AT CTG PORT</t>
  </si>
  <si>
    <t>CUSTOMS CELARANCE</t>
  </si>
  <si>
    <t>IMPORT MATERIALS DELIVERY AT SITE</t>
  </si>
  <si>
    <t>SITE ASSESSMENT</t>
  </si>
  <si>
    <t>TECHNICAL DISCUSSION</t>
  </si>
  <si>
    <t>INDUCTION</t>
  </si>
  <si>
    <t>WORK START</t>
  </si>
  <si>
    <t>SYSTEM PRESSURE TESTING</t>
  </si>
  <si>
    <t>PRESSURE TEST-SYSTEM</t>
  </si>
  <si>
    <t>PRESSURE TEST-PIPELINE</t>
  </si>
  <si>
    <t>PIPELINE PRESSURE TESTING</t>
  </si>
  <si>
    <t>CEILING/ACP CLOSING</t>
  </si>
  <si>
    <t>KICK OFF MEETING</t>
  </si>
  <si>
    <t>MEETING WITH PRINCIPAL/OEM</t>
  </si>
  <si>
    <t>ADVANCE RECEIVED</t>
  </si>
  <si>
    <t>Client</t>
  </si>
  <si>
    <t>ACP Opening</t>
  </si>
  <si>
    <t>Roof Core Cutting</t>
  </si>
  <si>
    <t>Ceiling Frame Cutting</t>
  </si>
  <si>
    <t xml:space="preserve">Crane for Outdoor Lifting </t>
  </si>
  <si>
    <t>Flash back??</t>
  </si>
  <si>
    <t>Oxygen trolley</t>
  </si>
  <si>
    <t xml:space="preserve">Acetylene trolley </t>
  </si>
  <si>
    <t>Fire Blanket</t>
  </si>
  <si>
    <t>Scaffolding</t>
  </si>
  <si>
    <t>platform</t>
  </si>
  <si>
    <t xml:space="preserve">Apron </t>
  </si>
  <si>
    <t>Safety belt</t>
  </si>
  <si>
    <t>Leather  hand gloves</t>
  </si>
  <si>
    <t>Normal hand gloves</t>
  </si>
  <si>
    <t>Air fresh??? helmet</t>
  </si>
  <si>
    <t>Ark welding helmet</t>
  </si>
  <si>
    <t xml:space="preserve">Wheel for scaffolding </t>
  </si>
  <si>
    <t>Helmet</t>
  </si>
  <si>
    <t xml:space="preserve">Fire extinguisher </t>
  </si>
  <si>
    <t>Industrial plug</t>
  </si>
  <si>
    <t>Industrial soket</t>
  </si>
  <si>
    <t>Sunglass</t>
  </si>
  <si>
    <t xml:space="preserve">Black sunglasses for welding </t>
  </si>
  <si>
    <t>Safety shoe</t>
  </si>
  <si>
    <t>Double hook safety belt</t>
  </si>
  <si>
    <t>***"Oxygen,,,, cetylene,,,,nitrogen.. From linde"</t>
  </si>
  <si>
    <t>Local Materials Requisition</t>
  </si>
  <si>
    <t>Local Material Purchase 70%</t>
  </si>
  <si>
    <t>Copper Pipes</t>
  </si>
  <si>
    <t>Insulation</t>
  </si>
  <si>
    <t>Cables</t>
  </si>
  <si>
    <t>Drain Pipes</t>
  </si>
  <si>
    <t>Work Order Issue</t>
  </si>
  <si>
    <t>Refrigerant Gas</t>
  </si>
  <si>
    <t xml:space="preserve">Tools </t>
  </si>
  <si>
    <t>Uniforms</t>
  </si>
  <si>
    <t>House Rent</t>
  </si>
  <si>
    <t>Man Power Hiring</t>
  </si>
  <si>
    <t xml:space="preserve">Ducting Vendor Selection </t>
  </si>
  <si>
    <t>Safety Officer Appointment</t>
  </si>
  <si>
    <t>Hand Gloves</t>
  </si>
  <si>
    <t>Clear Lens Safety Glasses</t>
  </si>
  <si>
    <t>Face Sheild/ Safety Sheild (clear)</t>
  </si>
  <si>
    <t>Helmet (With Logo)</t>
  </si>
  <si>
    <t>Retractable Badge Holder for Face ID</t>
  </si>
  <si>
    <t>Face ID for New Employees</t>
  </si>
  <si>
    <t>Leather Welding Apron (full Sleeve)</t>
  </si>
  <si>
    <t>Leather Hand Gloves for Welders</t>
  </si>
  <si>
    <t>Safety Vest (With Logo)</t>
  </si>
  <si>
    <t>Steel Toe Safety Shoe</t>
  </si>
  <si>
    <t>Shade Lens Safety Glasses (for Gas Welding)</t>
  </si>
  <si>
    <t xml:space="preserve">Flashback Arrestor for Oxygen Acetylene </t>
  </si>
  <si>
    <t>Double Hook Body Harness</t>
  </si>
  <si>
    <t>Trunk</t>
  </si>
  <si>
    <t>Industrial Plug</t>
  </si>
  <si>
    <t>Industrial Socket</t>
  </si>
  <si>
    <t>Gas Cylinder Trolley (Double)</t>
  </si>
  <si>
    <t>Gas Cylinder Trolley (Single)</t>
  </si>
  <si>
    <t>Fire Extinguisher (Dry Powder &amp; CO2)</t>
  </si>
  <si>
    <t>Caution Tape</t>
  </si>
  <si>
    <t xml:space="preserve">Foldable Trolley </t>
  </si>
  <si>
    <t>Traffic Cones</t>
  </si>
  <si>
    <t>Ear Plugs</t>
  </si>
  <si>
    <t>Scaffolding Clamp</t>
  </si>
  <si>
    <t>scaffolding steel plank</t>
  </si>
  <si>
    <t>Oxygen, Acetylene Meter</t>
  </si>
  <si>
    <t>10 Tech+ 2 Supervisor+ 1 Safety Officer+ 1 Shiraj+ 1 Arif+ 1 Humayra+ 1 MD Sir</t>
  </si>
  <si>
    <t>Arc Welding Helmet</t>
  </si>
  <si>
    <t>Service Cable 3Corex2.5rm</t>
  </si>
  <si>
    <t>Bench Drille</t>
  </si>
  <si>
    <t>coil</t>
  </si>
  <si>
    <t>pcs</t>
  </si>
  <si>
    <t>set</t>
  </si>
  <si>
    <t>Pcs</t>
  </si>
  <si>
    <t>Sl No</t>
  </si>
  <si>
    <t>Description</t>
  </si>
  <si>
    <t>Image</t>
  </si>
  <si>
    <t>Qty</t>
  </si>
  <si>
    <t>Unit</t>
  </si>
  <si>
    <t>Scaffolding Wheel - 4"</t>
  </si>
  <si>
    <t>Scaffolding Pipe 2" - (Length - 20 Rft)</t>
  </si>
  <si>
    <t>Tool-(Custom Made)</t>
  </si>
  <si>
    <t>Fresco</t>
  </si>
  <si>
    <t>Welding machine Earth Clamp Connector</t>
  </si>
  <si>
    <t>Welding Ground Earth Clamp Kit - 500Amps</t>
  </si>
  <si>
    <t>Fresco + N.A Engg</t>
  </si>
  <si>
    <t>Remarks</t>
  </si>
  <si>
    <t>Purpose: Safety Gear and Tools</t>
  </si>
  <si>
    <t>DATE: 27 Aug 2024</t>
  </si>
  <si>
    <t>for Internal Use Only</t>
  </si>
  <si>
    <t>PROJECT REQUISITION</t>
  </si>
  <si>
    <t>SITE MOBILIZATION &amp; INDUCTION</t>
  </si>
  <si>
    <t>COMMISSIONING</t>
  </si>
  <si>
    <t>TESTING COMMISSIONING (ZONE 4~7)</t>
  </si>
  <si>
    <t>TESTING COMMISSIONING (ZONE 1~2)</t>
  </si>
  <si>
    <t>TESTING COMMISSIONING (ZONE 3)</t>
  </si>
  <si>
    <t>KNITTING &amp; MAINT WORKSHOP (ZONE-1)</t>
  </si>
  <si>
    <t>CUTTING &amp; MAINTENANCE WORKSHOP (ZONE-2)</t>
  </si>
  <si>
    <t>ENGINEERING WORKSHOP GF (ZONE-3)</t>
  </si>
  <si>
    <t>PROCUREMENT &amp; HR SECTION GF (ZONE-4)</t>
  </si>
  <si>
    <t>CANTEEN &amp; SUBSTATION (ZONE-5)</t>
  </si>
  <si>
    <t>PROCUREMENT &amp; HR SECTION MF (ZONE-6)</t>
  </si>
  <si>
    <t>SEWING CANTEEN &amp; OFFICE MZ (ZONE-7)</t>
  </si>
  <si>
    <t>ELECTRICAL WIRING &amp; POWER AVAILABILITY (ZONE 1~2)</t>
  </si>
  <si>
    <t>ELECTRICAL WIRING &amp; POWER AVAILABILITY (ZONE 3)</t>
  </si>
  <si>
    <t>ELECTRICAL WIRING &amp; POWER AVAILABILITY (ZONE 4~7)</t>
  </si>
  <si>
    <t>IMPORT MATERIALS PRODUCTION</t>
  </si>
  <si>
    <t>DAY</t>
  </si>
  <si>
    <t>PLAN END</t>
  </si>
  <si>
    <t xml:space="preserve">Prepared By: </t>
  </si>
  <si>
    <t>XXXXXXXX</t>
  </si>
  <si>
    <t>Project Name: XXXXXXX</t>
  </si>
  <si>
    <t>XXXX SAFETY GEARS AND TOOLS REQUIREMENTS</t>
  </si>
  <si>
    <t>XXXX HVAC WORK</t>
  </si>
  <si>
    <t>XXXXX HVAC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</si>
</sst>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[$-409]d\-mmm\-yy;@"/>
  </numFmts>
  <fonts count="23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b/>
      <sz val="13"/>
      <color theme="7"/>
      <name val="Calibri"/>
      <family val="2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3"/>
      <color theme="1" tint="0.24994659260841701"/>
      <name val="Calibri"/>
      <family val="2"/>
    </font>
    <font>
      <b/>
      <sz val="11"/>
      <color theme="1" tint="0.24994659260841701"/>
      <name val="Corbel"/>
      <family val="2"/>
      <scheme val="major"/>
    </font>
    <font>
      <b/>
      <sz val="16"/>
      <color theme="1" tint="0.24994659260841701"/>
      <name val="Times New Roman"/>
      <family val="1"/>
    </font>
    <font>
      <b/>
      <sz val="11"/>
      <color theme="1" tint="0.24994659260841701"/>
      <name val="Times New Roman"/>
      <family val="1"/>
    </font>
    <font>
      <sz val="11"/>
      <color theme="1" tint="0.24994659260841701"/>
      <name val="Times New Roman"/>
      <family val="1"/>
    </font>
    <font>
      <b/>
      <sz val="11"/>
      <color rgb="FFFF0000"/>
      <name val="Times New Roman"/>
      <family val="1"/>
    </font>
    <font>
      <sz val="11"/>
      <color theme="1" tint="0.24994659260841701"/>
      <name val="Arial"/>
      <family val="2"/>
    </font>
    <font>
      <b/>
      <sz val="11"/>
      <color theme="1" tint="0.24994659260841701"/>
      <name val="Arial"/>
      <family val="2"/>
    </font>
    <font>
      <b/>
      <sz val="16"/>
      <color theme="1" tint="0.24994659260841701"/>
      <name val="Arial"/>
      <family val="2"/>
    </font>
  </fonts>
  <fills count="13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111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0" fontId="12" fillId="0" borderId="0" xfId="12">
      <alignment vertical="center"/>
    </xf>
    <xf numFmtId="0" fontId="14" fillId="0" borderId="0" xfId="2" applyFont="1">
      <alignment horizontal="left" wrapText="1"/>
    </xf>
    <xf numFmtId="0" fontId="0" fillId="0" borderId="0" xfId="0" applyAlignment="1">
      <alignment horizontal="left" vertical="center"/>
    </xf>
    <xf numFmtId="0" fontId="15" fillId="0" borderId="0" xfId="0" applyFont="1" applyAlignment="1">
      <alignment horizontal="left" vertical="center"/>
    </xf>
    <xf numFmtId="164" fontId="10" fillId="0" borderId="2" xfId="3" applyNumberFormat="1" applyAlignment="1">
      <alignment horizontal="center" textRotation="90"/>
    </xf>
    <xf numFmtId="0" fontId="10" fillId="0" borderId="0" xfId="10">
      <alignment horizontal="center" vertical="center" wrapText="1"/>
    </xf>
    <xf numFmtId="0" fontId="4" fillId="0" borderId="0" xfId="2" applyFont="1" applyBorder="1" applyAlignment="1">
      <alignment wrapText="1"/>
    </xf>
    <xf numFmtId="0" fontId="4" fillId="0" borderId="0" xfId="2" applyFont="1" applyAlignment="1">
      <alignment wrapText="1"/>
    </xf>
    <xf numFmtId="0" fontId="4" fillId="0" borderId="0" xfId="2" applyFont="1" applyAlignment="1"/>
    <xf numFmtId="1" fontId="13" fillId="6" borderId="5" xfId="13" applyBorder="1">
      <alignment horizontal="center" vertical="center"/>
    </xf>
    <xf numFmtId="0" fontId="0" fillId="2" borderId="9" xfId="14" applyFont="1" applyBorder="1" applyAlignment="1">
      <alignment horizontal="center"/>
    </xf>
    <xf numFmtId="0" fontId="0" fillId="3" borderId="10" xfId="15" applyFont="1" applyBorder="1" applyAlignment="1">
      <alignment horizontal="center"/>
    </xf>
    <xf numFmtId="0" fontId="0" fillId="4" borderId="10" xfId="16" applyFont="1" applyBorder="1" applyAlignment="1">
      <alignment horizontal="center"/>
    </xf>
    <xf numFmtId="0" fontId="0" fillId="5" borderId="10" xfId="17" applyFont="1" applyBorder="1" applyAlignment="1">
      <alignment horizontal="center"/>
    </xf>
    <xf numFmtId="0" fontId="4" fillId="0" borderId="0" xfId="2" applyFont="1" applyBorder="1" applyAlignment="1">
      <alignment horizontal="center" wrapText="1"/>
    </xf>
    <xf numFmtId="0" fontId="4" fillId="0" borderId="0" xfId="2" applyFont="1" applyAlignment="1">
      <alignment horizontal="center" wrapText="1"/>
    </xf>
    <xf numFmtId="9" fontId="6" fillId="0" borderId="0" xfId="6" applyFont="1">
      <alignment horizontal="center" vertical="center"/>
    </xf>
    <xf numFmtId="0" fontId="0" fillId="0" borderId="0" xfId="0" applyAlignment="1">
      <alignment horizontal="center" vertical="center" wrapText="1"/>
    </xf>
    <xf numFmtId="0" fontId="18" fillId="0" borderId="0" xfId="0" applyFont="1" applyAlignment="1">
      <alignment horizontal="center" vertical="top"/>
    </xf>
    <xf numFmtId="0" fontId="17" fillId="8" borderId="8" xfId="0" applyFont="1" applyFill="1" applyBorder="1" applyAlignment="1">
      <alignment horizontal="center" vertical="center" wrapText="1"/>
    </xf>
    <xf numFmtId="0" fontId="17" fillId="9" borderId="8" xfId="0" applyFont="1" applyFill="1" applyBorder="1" applyAlignment="1">
      <alignment horizontal="left" vertical="center"/>
    </xf>
    <xf numFmtId="0" fontId="18" fillId="0" borderId="0" xfId="0" applyFont="1">
      <alignment horizontal="center" vertical="center"/>
    </xf>
    <xf numFmtId="0" fontId="17" fillId="10" borderId="8" xfId="0" applyFont="1" applyFill="1" applyBorder="1" applyAlignment="1">
      <alignment horizontal="left" vertical="center"/>
    </xf>
    <xf numFmtId="0" fontId="17" fillId="11" borderId="8" xfId="0" applyFont="1" applyFill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right" vertical="center"/>
    </xf>
    <xf numFmtId="0" fontId="18" fillId="0" borderId="0" xfId="0" applyFont="1" applyAlignment="1">
      <alignment horizontal="right" vertical="center" wrapText="1"/>
    </xf>
    <xf numFmtId="2" fontId="18" fillId="0" borderId="0" xfId="0" applyNumberFormat="1" applyFont="1">
      <alignment horizontal="center" vertical="center"/>
    </xf>
    <xf numFmtId="1" fontId="18" fillId="0" borderId="8" xfId="0" applyNumberFormat="1" applyFont="1" applyBorder="1">
      <alignment horizontal="center" vertical="center"/>
    </xf>
    <xf numFmtId="1" fontId="19" fillId="12" borderId="8" xfId="0" applyNumberFormat="1" applyFont="1" applyFill="1" applyBorder="1">
      <alignment horizontal="center" vertical="center"/>
    </xf>
    <xf numFmtId="1" fontId="18" fillId="10" borderId="8" xfId="0" applyNumberFormat="1" applyFont="1" applyFill="1" applyBorder="1">
      <alignment horizontal="center" vertical="center"/>
    </xf>
    <xf numFmtId="16" fontId="18" fillId="0" borderId="0" xfId="0" applyNumberFormat="1" applyFont="1">
      <alignment horizontal="center" vertical="center"/>
    </xf>
    <xf numFmtId="1" fontId="18" fillId="0" borderId="0" xfId="0" applyNumberFormat="1" applyFont="1">
      <alignment horizontal="center" vertical="center"/>
    </xf>
    <xf numFmtId="0" fontId="10" fillId="0" borderId="2" xfId="10" applyBorder="1" applyAlignment="1">
      <alignment horizontal="center" vertical="center" textRotation="90" wrapText="1"/>
    </xf>
    <xf numFmtId="0" fontId="0" fillId="0" borderId="0" xfId="0" applyAlignment="1">
      <alignment horizontal="center" vertical="center" textRotation="90"/>
    </xf>
    <xf numFmtId="3" fontId="10" fillId="0" borderId="2" xfId="3" applyAlignment="1">
      <alignment horizontal="center" vertical="center" textRotation="90"/>
    </xf>
    <xf numFmtId="164" fontId="10" fillId="0" borderId="2" xfId="3" applyNumberFormat="1" applyAlignment="1">
      <alignment horizontal="center" vertical="center" textRotation="90"/>
    </xf>
    <xf numFmtId="165" fontId="18" fillId="0" borderId="0" xfId="0" applyNumberFormat="1" applyFont="1">
      <alignment horizontal="center" vertical="center"/>
    </xf>
    <xf numFmtId="165" fontId="19" fillId="12" borderId="8" xfId="0" applyNumberFormat="1" applyFont="1" applyFill="1" applyBorder="1">
      <alignment horizontal="center" vertical="center"/>
    </xf>
    <xf numFmtId="165" fontId="18" fillId="0" borderId="8" xfId="0" applyNumberFormat="1" applyFont="1" applyBorder="1">
      <alignment horizontal="center" vertical="center"/>
    </xf>
    <xf numFmtId="165" fontId="18" fillId="10" borderId="8" xfId="0" applyNumberFormat="1" applyFont="1" applyFill="1" applyBorder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0" fillId="0" borderId="0" xfId="9">
      <alignment vertical="center"/>
    </xf>
    <xf numFmtId="0" fontId="18" fillId="12" borderId="0" xfId="0" applyFont="1" applyFill="1" applyAlignment="1">
      <alignment horizontal="left" vertical="center"/>
    </xf>
    <xf numFmtId="0" fontId="18" fillId="12" borderId="0" xfId="0" applyFont="1" applyFill="1">
      <alignment horizontal="center" vertical="center"/>
    </xf>
    <xf numFmtId="16" fontId="18" fillId="12" borderId="0" xfId="0" applyNumberFormat="1" applyFont="1" applyFill="1">
      <alignment horizontal="center" vertical="center"/>
    </xf>
    <xf numFmtId="16" fontId="4" fillId="0" borderId="0" xfId="2" applyNumberFormat="1" applyFont="1" applyAlignment="1">
      <alignment horizontal="center" wrapText="1"/>
    </xf>
    <xf numFmtId="0" fontId="14" fillId="0" borderId="0" xfId="2" applyFont="1" applyBorder="1" applyAlignment="1">
      <alignment wrapText="1"/>
    </xf>
    <xf numFmtId="0" fontId="14" fillId="0" borderId="0" xfId="2" applyFont="1" applyAlignment="1">
      <alignment wrapText="1"/>
    </xf>
    <xf numFmtId="0" fontId="14" fillId="0" borderId="0" xfId="2" applyFont="1" applyAlignment="1"/>
    <xf numFmtId="1" fontId="10" fillId="0" borderId="2" xfId="3" applyNumberFormat="1" applyAlignment="1">
      <alignment horizontal="center" vertical="center" textRotation="90"/>
    </xf>
    <xf numFmtId="0" fontId="9" fillId="6" borderId="5" xfId="7" applyBorder="1">
      <alignment horizontal="left" vertical="center"/>
    </xf>
    <xf numFmtId="0" fontId="10" fillId="0" borderId="0" xfId="11" applyAlignment="1"/>
    <xf numFmtId="0" fontId="0" fillId="0" borderId="0" xfId="0" applyBorder="1" applyAlignment="1">
      <alignment vertical="center" wrapText="1"/>
    </xf>
    <xf numFmtId="164" fontId="10" fillId="0" borderId="15" xfId="3" applyNumberFormat="1" applyBorder="1" applyAlignment="1">
      <alignment horizontal="center" textRotation="90"/>
    </xf>
    <xf numFmtId="0" fontId="10" fillId="0" borderId="0" xfId="10" applyAlignment="1">
      <alignment horizontal="center" vertical="center" textRotation="90" wrapText="1"/>
    </xf>
    <xf numFmtId="16" fontId="5" fillId="0" borderId="0" xfId="0" applyNumberFormat="1" applyFont="1" applyAlignment="1">
      <alignment horizontal="center"/>
    </xf>
    <xf numFmtId="0" fontId="20" fillId="0" borderId="0" xfId="0" applyFont="1">
      <alignment horizontal="center" vertical="center"/>
    </xf>
    <xf numFmtId="0" fontId="20" fillId="0" borderId="0" xfId="0" applyFont="1" applyAlignment="1">
      <alignment horizontal="left" vertical="center"/>
    </xf>
    <xf numFmtId="0" fontId="21" fillId="0" borderId="8" xfId="0" applyFont="1" applyBorder="1">
      <alignment horizontal="center" vertical="center"/>
    </xf>
    <xf numFmtId="0" fontId="20" fillId="0" borderId="8" xfId="0" applyFont="1" applyBorder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0" fillId="0" borderId="8" xfId="0" applyFont="1" applyBorder="1" applyAlignment="1">
      <alignment horizontal="left" vertical="center"/>
    </xf>
    <xf numFmtId="0" fontId="0" fillId="0" borderId="8" xfId="0" applyBorder="1">
      <alignment horizontal="center" vertical="center"/>
    </xf>
    <xf numFmtId="0" fontId="20" fillId="0" borderId="11" xfId="0" applyFont="1" applyBorder="1">
      <alignment horizontal="center" vertical="center"/>
    </xf>
    <xf numFmtId="0" fontId="20" fillId="0" borderId="11" xfId="0" applyFont="1" applyBorder="1" applyAlignment="1">
      <alignment horizontal="left" vertical="center"/>
    </xf>
    <xf numFmtId="0" fontId="21" fillId="0" borderId="8" xfId="0" applyFont="1" applyBorder="1" applyAlignment="1">
      <alignment horizontal="center" vertical="top" wrapText="1"/>
    </xf>
    <xf numFmtId="164" fontId="5" fillId="0" borderId="0" xfId="0" applyNumberFormat="1" applyFont="1" applyAlignment="1">
      <alignment horizontal="center"/>
    </xf>
    <xf numFmtId="164" fontId="13" fillId="6" borderId="5" xfId="13" applyNumberFormat="1" applyBorder="1">
      <alignment horizontal="center" vertical="center"/>
    </xf>
    <xf numFmtId="164" fontId="14" fillId="0" borderId="0" xfId="2" applyNumberFormat="1" applyFont="1" applyAlignment="1">
      <alignment horizontal="center" wrapText="1"/>
    </xf>
    <xf numFmtId="0" fontId="14" fillId="0" borderId="0" xfId="2" applyFont="1" applyBorder="1" applyAlignment="1">
      <alignment horizontal="center" wrapText="1"/>
    </xf>
    <xf numFmtId="164" fontId="14" fillId="0" borderId="0" xfId="2" applyNumberFormat="1" applyFont="1" applyBorder="1" applyAlignment="1">
      <alignment horizontal="center" wrapText="1"/>
    </xf>
    <xf numFmtId="0" fontId="14" fillId="0" borderId="0" xfId="2" applyFont="1" applyAlignment="1">
      <alignment horizontal="center" wrapText="1"/>
    </xf>
    <xf numFmtId="0" fontId="10" fillId="0" borderId="5" xfId="10" applyBorder="1">
      <alignment horizontal="center" vertical="center" wrapText="1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  <xf numFmtId="0" fontId="10" fillId="0" borderId="8" xfId="11" applyBorder="1" applyAlignment="1">
      <alignment horizontal="center"/>
    </xf>
    <xf numFmtId="0" fontId="10" fillId="0" borderId="0" xfId="9" applyAlignment="1">
      <alignment horizontal="left" vertical="center"/>
    </xf>
    <xf numFmtId="0" fontId="10" fillId="0" borderId="2" xfId="9" applyBorder="1" applyAlignment="1">
      <alignment horizontal="left" vertical="center"/>
    </xf>
    <xf numFmtId="0" fontId="10" fillId="0" borderId="16" xfId="11" applyBorder="1" applyAlignment="1">
      <alignment horizontal="center"/>
    </xf>
    <xf numFmtId="0" fontId="10" fillId="0" borderId="0" xfId="11" applyAlignment="1">
      <alignment horizontal="center"/>
    </xf>
    <xf numFmtId="0" fontId="16" fillId="8" borderId="11" xfId="0" applyFont="1" applyFill="1" applyBorder="1" applyAlignment="1">
      <alignment horizontal="left" vertical="top"/>
    </xf>
    <xf numFmtId="0" fontId="16" fillId="8" borderId="12" xfId="0" applyFont="1" applyFill="1" applyBorder="1" applyAlignment="1">
      <alignment horizontal="left" vertical="top"/>
    </xf>
    <xf numFmtId="0" fontId="17" fillId="8" borderId="8" xfId="0" applyFont="1" applyFill="1" applyBorder="1" applyAlignment="1">
      <alignment horizontal="center" vertical="top" wrapText="1"/>
    </xf>
    <xf numFmtId="0" fontId="17" fillId="8" borderId="13" xfId="0" applyFont="1" applyFill="1" applyBorder="1" applyAlignment="1">
      <alignment horizontal="center" vertical="top" wrapText="1"/>
    </xf>
    <xf numFmtId="0" fontId="17" fillId="8" borderId="14" xfId="0" applyFont="1" applyFill="1" applyBorder="1" applyAlignment="1">
      <alignment horizontal="center" vertical="top" wrapText="1"/>
    </xf>
    <xf numFmtId="0" fontId="20" fillId="0" borderId="0" xfId="0" applyFont="1">
      <alignment horizontal="center" vertical="center"/>
    </xf>
    <xf numFmtId="0" fontId="21" fillId="0" borderId="0" xfId="0" applyFo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right" vertical="center"/>
    </xf>
    <xf numFmtId="0" fontId="22" fillId="0" borderId="0" xfId="0" applyFont="1">
      <alignment horizontal="center"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3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0_1">
  <dgm:title val=""/>
  <dgm:desc val=""/>
  <dgm:catLst>
    <dgm:cat type="mainScheme" pri="10100"/>
  </dgm:catLst>
  <dgm:styleLbl name="node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dk1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3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4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dk1">
        <a:alpha val="4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1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1">
        <a:shade val="8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1">
        <a:tint val="50000"/>
        <a:alpha val="4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770A229F-A951-4835-A117-12F79710632F}" type="doc">
      <dgm:prSet loTypeId="urn:microsoft.com/office/officeart/2005/8/layout/hierarchy6" loCatId="hierarchy" qsTypeId="urn:microsoft.com/office/officeart/2005/8/quickstyle/3d1" qsCatId="3D" csTypeId="urn:microsoft.com/office/officeart/2005/8/colors/accent0_1" csCatId="mainScheme" phldr="1"/>
      <dgm:spPr/>
      <dgm:t>
        <a:bodyPr/>
        <a:lstStyle/>
        <a:p>
          <a:endParaRPr lang="en-US"/>
        </a:p>
      </dgm:t>
    </dgm:pt>
    <dgm:pt modelId="{AA23AB04-874A-4486-9787-22032794A300}">
      <dgm:prSet phldrT="[Text]"/>
      <dgm:spPr/>
      <dgm:t>
        <a:bodyPr/>
        <a:lstStyle/>
        <a:p>
          <a:r>
            <a:rPr lang="en-US" b="1"/>
            <a:t>Managing Director</a:t>
          </a:r>
        </a:p>
      </dgm:t>
    </dgm:pt>
    <dgm:pt modelId="{B768CE7F-9606-4623-9F9F-B66434C91998}" type="parTrans" cxnId="{A270F52B-13F7-425F-8CFA-23901506B8DB}">
      <dgm:prSet/>
      <dgm:spPr/>
      <dgm:t>
        <a:bodyPr/>
        <a:lstStyle/>
        <a:p>
          <a:endParaRPr lang="en-US" b="1"/>
        </a:p>
      </dgm:t>
    </dgm:pt>
    <dgm:pt modelId="{7067BC8E-6518-474A-A654-8C11EBBF59CB}" type="sibTrans" cxnId="{A270F52B-13F7-425F-8CFA-23901506B8DB}">
      <dgm:prSet/>
      <dgm:spPr/>
      <dgm:t>
        <a:bodyPr/>
        <a:lstStyle/>
        <a:p>
          <a:endParaRPr lang="en-US" b="1"/>
        </a:p>
      </dgm:t>
    </dgm:pt>
    <dgm:pt modelId="{22DF5535-E05A-4F17-9B8C-2F9E66C52A1F}" type="asst">
      <dgm:prSet phldrT="[Text]"/>
      <dgm:spPr/>
      <dgm:t>
        <a:bodyPr/>
        <a:lstStyle/>
        <a:p>
          <a:r>
            <a:rPr lang="en-US" b="1"/>
            <a:t>Manager (HVAC Engineering)</a:t>
          </a:r>
        </a:p>
      </dgm:t>
    </dgm:pt>
    <dgm:pt modelId="{9B9EA5B4-6DE4-4632-813A-F4454A5115B0}" type="parTrans" cxnId="{98F25EA5-BEBA-48DA-85F3-A103B724D99C}">
      <dgm:prSet/>
      <dgm:spPr/>
      <dgm:t>
        <a:bodyPr/>
        <a:lstStyle/>
        <a:p>
          <a:endParaRPr lang="en-US" b="1"/>
        </a:p>
      </dgm:t>
    </dgm:pt>
    <dgm:pt modelId="{749F3004-51C2-4568-99ED-F6099473C4C0}" type="sibTrans" cxnId="{98F25EA5-BEBA-48DA-85F3-A103B724D99C}">
      <dgm:prSet/>
      <dgm:spPr/>
      <dgm:t>
        <a:bodyPr/>
        <a:lstStyle/>
        <a:p>
          <a:endParaRPr lang="en-US" b="1"/>
        </a:p>
      </dgm:t>
    </dgm:pt>
    <dgm:pt modelId="{CBEB1425-9EEC-4F07-9F36-3475AFCA3586}">
      <dgm:prSet phldrT="[Text]"/>
      <dgm:spPr/>
      <dgm:t>
        <a:bodyPr/>
        <a:lstStyle/>
        <a:p>
          <a:r>
            <a:rPr lang="en-US" b="1"/>
            <a:t>Safety Officer</a:t>
          </a:r>
        </a:p>
      </dgm:t>
    </dgm:pt>
    <dgm:pt modelId="{2BD1F5BF-0289-4FEA-A1C6-9922F562F957}" type="parTrans" cxnId="{DFCE0064-4551-495C-B060-F2DEE156AD72}">
      <dgm:prSet/>
      <dgm:spPr/>
      <dgm:t>
        <a:bodyPr/>
        <a:lstStyle/>
        <a:p>
          <a:endParaRPr lang="en-US" b="1"/>
        </a:p>
      </dgm:t>
    </dgm:pt>
    <dgm:pt modelId="{8EB5262E-AFB1-42C7-AA14-D29D49479CD7}" type="sibTrans" cxnId="{DFCE0064-4551-495C-B060-F2DEE156AD72}">
      <dgm:prSet/>
      <dgm:spPr/>
      <dgm:t>
        <a:bodyPr/>
        <a:lstStyle/>
        <a:p>
          <a:endParaRPr lang="en-US" b="1"/>
        </a:p>
      </dgm:t>
    </dgm:pt>
    <dgm:pt modelId="{6D492477-4A08-41D2-8633-BA8FF10CD480}">
      <dgm:prSet phldrT="[Text]"/>
      <dgm:spPr/>
      <dgm:t>
        <a:bodyPr/>
        <a:lstStyle/>
        <a:p>
          <a:r>
            <a:rPr lang="en-US" b="1"/>
            <a:t>Project Engineer</a:t>
          </a:r>
        </a:p>
      </dgm:t>
    </dgm:pt>
    <dgm:pt modelId="{1F412CF9-1DCA-48CE-82EF-59D7621C14CF}" type="parTrans" cxnId="{E83B800F-0CBE-45D1-AC1D-AA1BDAA66262}">
      <dgm:prSet/>
      <dgm:spPr/>
      <dgm:t>
        <a:bodyPr/>
        <a:lstStyle/>
        <a:p>
          <a:endParaRPr lang="en-US" b="1"/>
        </a:p>
      </dgm:t>
    </dgm:pt>
    <dgm:pt modelId="{0572FE7A-A794-466B-AC60-866B593465BF}" type="sibTrans" cxnId="{E83B800F-0CBE-45D1-AC1D-AA1BDAA66262}">
      <dgm:prSet/>
      <dgm:spPr/>
      <dgm:t>
        <a:bodyPr/>
        <a:lstStyle/>
        <a:p>
          <a:endParaRPr lang="en-US" b="1"/>
        </a:p>
      </dgm:t>
    </dgm:pt>
    <dgm:pt modelId="{711E11C9-6293-401A-AC7D-B2178F5E6C49}">
      <dgm:prSet phldrT="[Text]"/>
      <dgm:spPr/>
      <dgm:t>
        <a:bodyPr/>
        <a:lstStyle/>
        <a:p>
          <a:r>
            <a:rPr lang="en-US" b="1"/>
            <a:t>Project Manager</a:t>
          </a:r>
        </a:p>
      </dgm:t>
    </dgm:pt>
    <dgm:pt modelId="{A53DAF97-DE67-4D36-A699-5BAF9345368F}" type="parTrans" cxnId="{9B1887B1-7A8A-4322-B189-B3FBBBEB6BAB}">
      <dgm:prSet/>
      <dgm:spPr/>
      <dgm:t>
        <a:bodyPr/>
        <a:lstStyle/>
        <a:p>
          <a:endParaRPr lang="en-US" b="1"/>
        </a:p>
      </dgm:t>
    </dgm:pt>
    <dgm:pt modelId="{F0168A18-6820-43D7-86B5-E74BB15419FA}" type="sibTrans" cxnId="{9B1887B1-7A8A-4322-B189-B3FBBBEB6BAB}">
      <dgm:prSet/>
      <dgm:spPr/>
      <dgm:t>
        <a:bodyPr/>
        <a:lstStyle/>
        <a:p>
          <a:endParaRPr lang="en-US" b="1"/>
        </a:p>
      </dgm:t>
    </dgm:pt>
    <dgm:pt modelId="{87294563-566C-4C13-AE9E-FF5DCF1080D8}">
      <dgm:prSet phldrT="[Text]"/>
      <dgm:spPr/>
      <dgm:t>
        <a:bodyPr/>
        <a:lstStyle/>
        <a:p>
          <a:r>
            <a:rPr lang="en-US" b="1"/>
            <a:t>Site Supervisor (Piping) - 2 People</a:t>
          </a:r>
        </a:p>
      </dgm:t>
    </dgm:pt>
    <dgm:pt modelId="{E2929EFB-3CCE-4E00-99AC-C68E05BFF25E}" type="parTrans" cxnId="{7DEC4934-8E8C-47C5-9A1E-A142263035D1}">
      <dgm:prSet/>
      <dgm:spPr/>
      <dgm:t>
        <a:bodyPr/>
        <a:lstStyle/>
        <a:p>
          <a:endParaRPr lang="en-US" b="1"/>
        </a:p>
      </dgm:t>
    </dgm:pt>
    <dgm:pt modelId="{81F1322B-6F6D-47D8-9039-DE5FD6D68833}" type="sibTrans" cxnId="{7DEC4934-8E8C-47C5-9A1E-A142263035D1}">
      <dgm:prSet/>
      <dgm:spPr/>
      <dgm:t>
        <a:bodyPr/>
        <a:lstStyle/>
        <a:p>
          <a:endParaRPr lang="en-US" b="1"/>
        </a:p>
      </dgm:t>
    </dgm:pt>
    <dgm:pt modelId="{90CF052A-49FC-4218-8B90-047F98EEB296}">
      <dgm:prSet phldrT="[Text]"/>
      <dgm:spPr/>
      <dgm:t>
        <a:bodyPr/>
        <a:lstStyle/>
        <a:p>
          <a:r>
            <a:rPr lang="en-US" b="1"/>
            <a:t>Site Super Visor (Ducting) - 1 People</a:t>
          </a:r>
        </a:p>
      </dgm:t>
    </dgm:pt>
    <dgm:pt modelId="{848ED8A3-F655-498F-B5EA-3A308E5D092A}" type="parTrans" cxnId="{1BCB40AB-9985-4A73-8FA7-0DB3EA2DFED7}">
      <dgm:prSet/>
      <dgm:spPr/>
      <dgm:t>
        <a:bodyPr/>
        <a:lstStyle/>
        <a:p>
          <a:endParaRPr lang="en-US" b="1"/>
        </a:p>
      </dgm:t>
    </dgm:pt>
    <dgm:pt modelId="{5E403D77-D58A-4DE1-B404-12BC0ECC32ED}" type="sibTrans" cxnId="{1BCB40AB-9985-4A73-8FA7-0DB3EA2DFED7}">
      <dgm:prSet/>
      <dgm:spPr/>
      <dgm:t>
        <a:bodyPr/>
        <a:lstStyle/>
        <a:p>
          <a:endParaRPr lang="en-US" b="1"/>
        </a:p>
      </dgm:t>
    </dgm:pt>
    <dgm:pt modelId="{3ABA24B5-77B1-42C0-BC3A-763E9894997E}">
      <dgm:prSet phldrT="[Text]"/>
      <dgm:spPr/>
      <dgm:t>
        <a:bodyPr/>
        <a:lstStyle/>
        <a:p>
          <a:r>
            <a:rPr lang="en-US" b="1"/>
            <a:t>Supply Chain</a:t>
          </a:r>
        </a:p>
      </dgm:t>
    </dgm:pt>
    <dgm:pt modelId="{8B173946-9C6D-43C2-9FDB-EE262F6C9BDC}" type="sibTrans" cxnId="{65B1361A-2ADD-4BED-A6FF-F858BD2554A8}">
      <dgm:prSet/>
      <dgm:spPr/>
      <dgm:t>
        <a:bodyPr/>
        <a:lstStyle/>
        <a:p>
          <a:endParaRPr lang="en-US" b="1"/>
        </a:p>
      </dgm:t>
    </dgm:pt>
    <dgm:pt modelId="{38125594-7139-4722-8E0A-97EEA290F8DF}" type="parTrans" cxnId="{65B1361A-2ADD-4BED-A6FF-F858BD2554A8}">
      <dgm:prSet/>
      <dgm:spPr/>
      <dgm:t>
        <a:bodyPr/>
        <a:lstStyle/>
        <a:p>
          <a:endParaRPr lang="en-US" b="1"/>
        </a:p>
      </dgm:t>
    </dgm:pt>
    <dgm:pt modelId="{F557B8E0-95C4-481B-9745-29D74AC7A4E6}">
      <dgm:prSet phldrT="[Text]"/>
      <dgm:spPr/>
      <dgm:t>
        <a:bodyPr/>
        <a:lstStyle/>
        <a:p>
          <a:r>
            <a:rPr lang="en-US" b="1"/>
            <a:t>Accounts</a:t>
          </a:r>
        </a:p>
      </dgm:t>
    </dgm:pt>
    <dgm:pt modelId="{B47C976F-03CD-4364-ACA2-04522CAB07E5}" type="sibTrans" cxnId="{846FC703-B4F4-4D91-9FF5-C3F84C01F38E}">
      <dgm:prSet/>
      <dgm:spPr/>
      <dgm:t>
        <a:bodyPr/>
        <a:lstStyle/>
        <a:p>
          <a:endParaRPr lang="en-US" b="1"/>
        </a:p>
      </dgm:t>
    </dgm:pt>
    <dgm:pt modelId="{45846A3B-8807-48C4-89D6-D2130CAC9CA7}" type="parTrans" cxnId="{846FC703-B4F4-4D91-9FF5-C3F84C01F38E}">
      <dgm:prSet/>
      <dgm:spPr/>
      <dgm:t>
        <a:bodyPr/>
        <a:lstStyle/>
        <a:p>
          <a:endParaRPr lang="en-US" b="1"/>
        </a:p>
      </dgm:t>
    </dgm:pt>
    <dgm:pt modelId="{ECE276D6-F6DE-4781-88A9-CBCA339C8760}">
      <dgm:prSet phldrT="[Text]"/>
      <dgm:spPr/>
      <dgm:t>
        <a:bodyPr/>
        <a:lstStyle/>
        <a:p>
          <a:r>
            <a:rPr lang="en-US" b="1"/>
            <a:t>Technician &amp; Foreman - 12 People</a:t>
          </a:r>
        </a:p>
      </dgm:t>
    </dgm:pt>
    <dgm:pt modelId="{2D74C77B-995B-4309-A9C2-4563B361435F}" type="parTrans" cxnId="{B2916932-2137-452A-8955-9C3E82E4AEC5}">
      <dgm:prSet/>
      <dgm:spPr/>
      <dgm:t>
        <a:bodyPr/>
        <a:lstStyle/>
        <a:p>
          <a:endParaRPr lang="en-US" b="1"/>
        </a:p>
      </dgm:t>
    </dgm:pt>
    <dgm:pt modelId="{93766CBB-5130-48A6-AC89-0DF2C02ECB01}" type="sibTrans" cxnId="{B2916932-2137-452A-8955-9C3E82E4AEC5}">
      <dgm:prSet/>
      <dgm:spPr/>
      <dgm:t>
        <a:bodyPr/>
        <a:lstStyle/>
        <a:p>
          <a:endParaRPr lang="en-US" b="1"/>
        </a:p>
      </dgm:t>
    </dgm:pt>
    <dgm:pt modelId="{CDED4F2D-C8A4-47A1-94F3-D0B92C1F9FAF}">
      <dgm:prSet phldrT="[Text]"/>
      <dgm:spPr/>
      <dgm:t>
        <a:bodyPr/>
        <a:lstStyle/>
        <a:p>
          <a:r>
            <a:rPr lang="en-US" b="1"/>
            <a:t>Technician &amp; Foreman - 8 People</a:t>
          </a:r>
        </a:p>
      </dgm:t>
    </dgm:pt>
    <dgm:pt modelId="{CA549595-A9F4-4DEB-8D0A-D116C36A6D8C}" type="parTrans" cxnId="{96026CD6-8D4B-4AE3-9E6D-5606980B03CB}">
      <dgm:prSet/>
      <dgm:spPr/>
      <dgm:t>
        <a:bodyPr/>
        <a:lstStyle/>
        <a:p>
          <a:endParaRPr lang="en-US" b="1"/>
        </a:p>
      </dgm:t>
    </dgm:pt>
    <dgm:pt modelId="{F9C02F8D-4E4E-4274-B82B-85FBCE1D0B8B}" type="sibTrans" cxnId="{96026CD6-8D4B-4AE3-9E6D-5606980B03CB}">
      <dgm:prSet/>
      <dgm:spPr/>
      <dgm:t>
        <a:bodyPr/>
        <a:lstStyle/>
        <a:p>
          <a:endParaRPr lang="en-US" b="1"/>
        </a:p>
      </dgm:t>
    </dgm:pt>
    <dgm:pt modelId="{6BBF434B-A9FE-4E09-B7EF-DF9633C79DEE}">
      <dgm:prSet phldrT="[Text]"/>
      <dgm:spPr/>
      <dgm:t>
        <a:bodyPr/>
        <a:lstStyle/>
        <a:p>
          <a:r>
            <a:rPr lang="en-US" b="1"/>
            <a:t>Technical Supervisor</a:t>
          </a:r>
        </a:p>
      </dgm:t>
    </dgm:pt>
    <dgm:pt modelId="{668CE0A9-3D49-4A6E-85B3-A482613882A5}" type="sibTrans" cxnId="{26930FA8-2022-4F5B-A15E-B59370C35DED}">
      <dgm:prSet/>
      <dgm:spPr/>
      <dgm:t>
        <a:bodyPr/>
        <a:lstStyle/>
        <a:p>
          <a:endParaRPr lang="en-US" b="1"/>
        </a:p>
      </dgm:t>
    </dgm:pt>
    <dgm:pt modelId="{D5F55F5E-4F49-4ABD-8086-25B8C8490EA1}" type="parTrans" cxnId="{26930FA8-2022-4F5B-A15E-B59370C35DED}">
      <dgm:prSet/>
      <dgm:spPr/>
      <dgm:t>
        <a:bodyPr/>
        <a:lstStyle/>
        <a:p>
          <a:endParaRPr lang="en-US" b="1"/>
        </a:p>
      </dgm:t>
    </dgm:pt>
    <dgm:pt modelId="{A4AAE302-78C9-4550-AAA9-70D71028F717}" type="pres">
      <dgm:prSet presAssocID="{770A229F-A951-4835-A117-12F79710632F}" presName="mainComposite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264D87E5-DE80-4405-92F1-F4A64538A296}" type="pres">
      <dgm:prSet presAssocID="{770A229F-A951-4835-A117-12F79710632F}" presName="hierFlow" presStyleCnt="0"/>
      <dgm:spPr/>
    </dgm:pt>
    <dgm:pt modelId="{B0A6557E-B300-4DDD-A9FD-8C6A317FA316}" type="pres">
      <dgm:prSet presAssocID="{770A229F-A951-4835-A117-12F79710632F}" presName="hierChild1" presStyleCnt="0">
        <dgm:presLayoutVars>
          <dgm:chPref val="1"/>
          <dgm:animOne val="branch"/>
          <dgm:animLvl val="lvl"/>
        </dgm:presLayoutVars>
      </dgm:prSet>
      <dgm:spPr/>
    </dgm:pt>
    <dgm:pt modelId="{7D141C86-7B16-4ABB-A896-D5C24DD50A1E}" type="pres">
      <dgm:prSet presAssocID="{AA23AB04-874A-4486-9787-22032794A300}" presName="Name14" presStyleCnt="0"/>
      <dgm:spPr/>
    </dgm:pt>
    <dgm:pt modelId="{6B538898-8AF6-4AF7-A000-02D9DBA4A693}" type="pres">
      <dgm:prSet presAssocID="{AA23AB04-874A-4486-9787-22032794A300}" presName="level1Shape" presStyleLbl="node0" presStyleIdx="0" presStyleCnt="1">
        <dgm:presLayoutVars>
          <dgm:chPref val="3"/>
        </dgm:presLayoutVars>
      </dgm:prSet>
      <dgm:spPr/>
    </dgm:pt>
    <dgm:pt modelId="{BC98C53D-1441-4AED-85C1-1DEFB07D5EB0}" type="pres">
      <dgm:prSet presAssocID="{AA23AB04-874A-4486-9787-22032794A300}" presName="hierChild2" presStyleCnt="0"/>
      <dgm:spPr/>
    </dgm:pt>
    <dgm:pt modelId="{F9A43E94-BDB9-48E0-A52E-097E3E0108F5}" type="pres">
      <dgm:prSet presAssocID="{9B9EA5B4-6DE4-4632-813A-F4454A5115B0}" presName="Name19" presStyleLbl="parChTrans1D2" presStyleIdx="0" presStyleCnt="3"/>
      <dgm:spPr/>
    </dgm:pt>
    <dgm:pt modelId="{7D8B6BDA-6E40-4734-A653-ECC38D39F707}" type="pres">
      <dgm:prSet presAssocID="{22DF5535-E05A-4F17-9B8C-2F9E66C52A1F}" presName="Name21" presStyleCnt="0"/>
      <dgm:spPr/>
    </dgm:pt>
    <dgm:pt modelId="{E4C2249C-E6C0-43E6-BE98-B4B68FA7D35A}" type="pres">
      <dgm:prSet presAssocID="{22DF5535-E05A-4F17-9B8C-2F9E66C52A1F}" presName="level2Shape" presStyleLbl="asst1" presStyleIdx="0" presStyleCnt="1"/>
      <dgm:spPr/>
    </dgm:pt>
    <dgm:pt modelId="{7C13E0BD-1610-4F04-A3AF-6751F052668B}" type="pres">
      <dgm:prSet presAssocID="{22DF5535-E05A-4F17-9B8C-2F9E66C52A1F}" presName="hierChild3" presStyleCnt="0"/>
      <dgm:spPr/>
    </dgm:pt>
    <dgm:pt modelId="{03394466-3C3C-437C-9189-5DD2CB4F8686}" type="pres">
      <dgm:prSet presAssocID="{A53DAF97-DE67-4D36-A699-5BAF9345368F}" presName="Name19" presStyleLbl="parChTrans1D3" presStyleIdx="0" presStyleCnt="1"/>
      <dgm:spPr/>
    </dgm:pt>
    <dgm:pt modelId="{76CF6467-30D4-4C24-9B69-11A3B74D0DB5}" type="pres">
      <dgm:prSet presAssocID="{711E11C9-6293-401A-AC7D-B2178F5E6C49}" presName="Name21" presStyleCnt="0"/>
      <dgm:spPr/>
    </dgm:pt>
    <dgm:pt modelId="{F5735AE6-C044-4261-91B1-D3E27E6CC0C6}" type="pres">
      <dgm:prSet presAssocID="{711E11C9-6293-401A-AC7D-B2178F5E6C49}" presName="level2Shape" presStyleLbl="node3" presStyleIdx="0" presStyleCnt="1"/>
      <dgm:spPr/>
    </dgm:pt>
    <dgm:pt modelId="{9AD34B18-B15C-46D7-8DB6-6E2BDCE96C9E}" type="pres">
      <dgm:prSet presAssocID="{711E11C9-6293-401A-AC7D-B2178F5E6C49}" presName="hierChild3" presStyleCnt="0"/>
      <dgm:spPr/>
    </dgm:pt>
    <dgm:pt modelId="{92048EB2-0462-42FB-8BA4-383BF2555022}" type="pres">
      <dgm:prSet presAssocID="{D5F55F5E-4F49-4ABD-8086-25B8C8490EA1}" presName="Name19" presStyleLbl="parChTrans1D4" presStyleIdx="0" presStyleCnt="7"/>
      <dgm:spPr/>
    </dgm:pt>
    <dgm:pt modelId="{D26B4A76-15B5-45FA-BB4C-D2FC56EEFA2B}" type="pres">
      <dgm:prSet presAssocID="{6BBF434B-A9FE-4E09-B7EF-DF9633C79DEE}" presName="Name21" presStyleCnt="0"/>
      <dgm:spPr/>
    </dgm:pt>
    <dgm:pt modelId="{26C9FF53-B3BE-4534-B026-ECEA0201DBC9}" type="pres">
      <dgm:prSet presAssocID="{6BBF434B-A9FE-4E09-B7EF-DF9633C79DEE}" presName="level2Shape" presStyleLbl="node4" presStyleIdx="0" presStyleCnt="7"/>
      <dgm:spPr/>
    </dgm:pt>
    <dgm:pt modelId="{A8581BD0-6F00-4017-9C2E-47051E642036}" type="pres">
      <dgm:prSet presAssocID="{6BBF434B-A9FE-4E09-B7EF-DF9633C79DEE}" presName="hierChild3" presStyleCnt="0"/>
      <dgm:spPr/>
    </dgm:pt>
    <dgm:pt modelId="{59717BBE-E4D7-42BC-A4D3-A09FFD67C103}" type="pres">
      <dgm:prSet presAssocID="{1F412CF9-1DCA-48CE-82EF-59D7621C14CF}" presName="Name19" presStyleLbl="parChTrans1D4" presStyleIdx="1" presStyleCnt="7"/>
      <dgm:spPr/>
    </dgm:pt>
    <dgm:pt modelId="{13CF3526-E228-49C9-A635-E09F2C0F3690}" type="pres">
      <dgm:prSet presAssocID="{6D492477-4A08-41D2-8633-BA8FF10CD480}" presName="Name21" presStyleCnt="0"/>
      <dgm:spPr/>
    </dgm:pt>
    <dgm:pt modelId="{B803654E-BEBD-4136-9C19-0E7316BE92EF}" type="pres">
      <dgm:prSet presAssocID="{6D492477-4A08-41D2-8633-BA8FF10CD480}" presName="level2Shape" presStyleLbl="node4" presStyleIdx="1" presStyleCnt="7"/>
      <dgm:spPr/>
    </dgm:pt>
    <dgm:pt modelId="{0E9FBBFF-A8E7-4FB8-BE0D-BF397D9E777E}" type="pres">
      <dgm:prSet presAssocID="{6D492477-4A08-41D2-8633-BA8FF10CD480}" presName="hierChild3" presStyleCnt="0"/>
      <dgm:spPr/>
    </dgm:pt>
    <dgm:pt modelId="{16EE123A-58F1-4175-A3B5-F885597A7A2A}" type="pres">
      <dgm:prSet presAssocID="{E2929EFB-3CCE-4E00-99AC-C68E05BFF25E}" presName="Name19" presStyleLbl="parChTrans1D4" presStyleIdx="2" presStyleCnt="7"/>
      <dgm:spPr/>
    </dgm:pt>
    <dgm:pt modelId="{D25826EC-AEC1-4B4A-BAA2-2A9FE7809A31}" type="pres">
      <dgm:prSet presAssocID="{87294563-566C-4C13-AE9E-FF5DCF1080D8}" presName="Name21" presStyleCnt="0"/>
      <dgm:spPr/>
    </dgm:pt>
    <dgm:pt modelId="{A7F8C58A-5ED4-4D01-9A83-F896C87FED3D}" type="pres">
      <dgm:prSet presAssocID="{87294563-566C-4C13-AE9E-FF5DCF1080D8}" presName="level2Shape" presStyleLbl="node4" presStyleIdx="2" presStyleCnt="7"/>
      <dgm:spPr/>
    </dgm:pt>
    <dgm:pt modelId="{6BAC22A2-282A-43F8-AA47-4FD4AE59DA85}" type="pres">
      <dgm:prSet presAssocID="{87294563-566C-4C13-AE9E-FF5DCF1080D8}" presName="hierChild3" presStyleCnt="0"/>
      <dgm:spPr/>
    </dgm:pt>
    <dgm:pt modelId="{9D8B8FB9-5A0B-476B-8C34-41B7C07D9503}" type="pres">
      <dgm:prSet presAssocID="{2D74C77B-995B-4309-A9C2-4563B361435F}" presName="Name19" presStyleLbl="parChTrans1D4" presStyleIdx="3" presStyleCnt="7"/>
      <dgm:spPr/>
    </dgm:pt>
    <dgm:pt modelId="{DB6848BD-7FE8-4499-9F6C-25C72FB6B50F}" type="pres">
      <dgm:prSet presAssocID="{ECE276D6-F6DE-4781-88A9-CBCA339C8760}" presName="Name21" presStyleCnt="0"/>
      <dgm:spPr/>
    </dgm:pt>
    <dgm:pt modelId="{055FD808-F3C4-42DE-82BD-F03E8ED07B14}" type="pres">
      <dgm:prSet presAssocID="{ECE276D6-F6DE-4781-88A9-CBCA339C8760}" presName="level2Shape" presStyleLbl="node4" presStyleIdx="3" presStyleCnt="7"/>
      <dgm:spPr/>
    </dgm:pt>
    <dgm:pt modelId="{A4DE74A8-2A86-4A22-BC5F-433E3125E8C2}" type="pres">
      <dgm:prSet presAssocID="{ECE276D6-F6DE-4781-88A9-CBCA339C8760}" presName="hierChild3" presStyleCnt="0"/>
      <dgm:spPr/>
    </dgm:pt>
    <dgm:pt modelId="{6E228D7C-8045-49A0-8BC4-4F06C9E57ED9}" type="pres">
      <dgm:prSet presAssocID="{848ED8A3-F655-498F-B5EA-3A308E5D092A}" presName="Name19" presStyleLbl="parChTrans1D4" presStyleIdx="4" presStyleCnt="7"/>
      <dgm:spPr/>
    </dgm:pt>
    <dgm:pt modelId="{E681103C-8454-480C-AEAA-E207C8DB9510}" type="pres">
      <dgm:prSet presAssocID="{90CF052A-49FC-4218-8B90-047F98EEB296}" presName="Name21" presStyleCnt="0"/>
      <dgm:spPr/>
    </dgm:pt>
    <dgm:pt modelId="{CF817D09-BF9E-4175-97D1-E36AD91308DC}" type="pres">
      <dgm:prSet presAssocID="{90CF052A-49FC-4218-8B90-047F98EEB296}" presName="level2Shape" presStyleLbl="node4" presStyleIdx="4" presStyleCnt="7"/>
      <dgm:spPr/>
    </dgm:pt>
    <dgm:pt modelId="{1032DEA3-B6A3-4BA4-A5C7-D87287465E33}" type="pres">
      <dgm:prSet presAssocID="{90CF052A-49FC-4218-8B90-047F98EEB296}" presName="hierChild3" presStyleCnt="0"/>
      <dgm:spPr/>
    </dgm:pt>
    <dgm:pt modelId="{B52FA4A4-50FB-4D79-809E-76DFC1CB49D5}" type="pres">
      <dgm:prSet presAssocID="{CA549595-A9F4-4DEB-8D0A-D116C36A6D8C}" presName="Name19" presStyleLbl="parChTrans1D4" presStyleIdx="5" presStyleCnt="7"/>
      <dgm:spPr/>
    </dgm:pt>
    <dgm:pt modelId="{9DDCDC40-8517-48C5-8A89-0FF41595A132}" type="pres">
      <dgm:prSet presAssocID="{CDED4F2D-C8A4-47A1-94F3-D0B92C1F9FAF}" presName="Name21" presStyleCnt="0"/>
      <dgm:spPr/>
    </dgm:pt>
    <dgm:pt modelId="{E64ACB63-3C3F-43A7-A9C3-AFFED89C7162}" type="pres">
      <dgm:prSet presAssocID="{CDED4F2D-C8A4-47A1-94F3-D0B92C1F9FAF}" presName="level2Shape" presStyleLbl="node4" presStyleIdx="5" presStyleCnt="7"/>
      <dgm:spPr/>
    </dgm:pt>
    <dgm:pt modelId="{2CD78F7F-2D2F-4709-8819-F5DD4557420E}" type="pres">
      <dgm:prSet presAssocID="{CDED4F2D-C8A4-47A1-94F3-D0B92C1F9FAF}" presName="hierChild3" presStyleCnt="0"/>
      <dgm:spPr/>
    </dgm:pt>
    <dgm:pt modelId="{B55E10B0-22AE-4F2A-9053-1D0682885BE2}" type="pres">
      <dgm:prSet presAssocID="{2BD1F5BF-0289-4FEA-A1C6-9922F562F957}" presName="Name19" presStyleLbl="parChTrans1D4" presStyleIdx="6" presStyleCnt="7"/>
      <dgm:spPr/>
    </dgm:pt>
    <dgm:pt modelId="{36BC74C0-8C7B-4606-B96D-CD291EEB916B}" type="pres">
      <dgm:prSet presAssocID="{CBEB1425-9EEC-4F07-9F36-3475AFCA3586}" presName="Name21" presStyleCnt="0"/>
      <dgm:spPr/>
    </dgm:pt>
    <dgm:pt modelId="{8FFB4308-F33B-43DD-B114-3C6E53597ACA}" type="pres">
      <dgm:prSet presAssocID="{CBEB1425-9EEC-4F07-9F36-3475AFCA3586}" presName="level2Shape" presStyleLbl="node4" presStyleIdx="6" presStyleCnt="7"/>
      <dgm:spPr/>
    </dgm:pt>
    <dgm:pt modelId="{B57CE60E-F086-4A40-A30E-DC12ADCB976A}" type="pres">
      <dgm:prSet presAssocID="{CBEB1425-9EEC-4F07-9F36-3475AFCA3586}" presName="hierChild3" presStyleCnt="0"/>
      <dgm:spPr/>
    </dgm:pt>
    <dgm:pt modelId="{4C09AE1B-D0B5-4AD2-B681-0B44131C9944}" type="pres">
      <dgm:prSet presAssocID="{38125594-7139-4722-8E0A-97EEA290F8DF}" presName="Name19" presStyleLbl="parChTrans1D2" presStyleIdx="1" presStyleCnt="3"/>
      <dgm:spPr/>
    </dgm:pt>
    <dgm:pt modelId="{44E68B22-063A-4A72-BA6F-069EE5E1086D}" type="pres">
      <dgm:prSet presAssocID="{3ABA24B5-77B1-42C0-BC3A-763E9894997E}" presName="Name21" presStyleCnt="0"/>
      <dgm:spPr/>
    </dgm:pt>
    <dgm:pt modelId="{5880A1AD-F656-43AF-9261-E3E30E61A0F0}" type="pres">
      <dgm:prSet presAssocID="{3ABA24B5-77B1-42C0-BC3A-763E9894997E}" presName="level2Shape" presStyleLbl="node2" presStyleIdx="0" presStyleCnt="2"/>
      <dgm:spPr/>
    </dgm:pt>
    <dgm:pt modelId="{90E1B436-9206-4685-8970-8CDDFBBF69B5}" type="pres">
      <dgm:prSet presAssocID="{3ABA24B5-77B1-42C0-BC3A-763E9894997E}" presName="hierChild3" presStyleCnt="0"/>
      <dgm:spPr/>
    </dgm:pt>
    <dgm:pt modelId="{0F5B38DE-3ECF-4A76-8A96-491884B39C0A}" type="pres">
      <dgm:prSet presAssocID="{45846A3B-8807-48C4-89D6-D2130CAC9CA7}" presName="Name19" presStyleLbl="parChTrans1D2" presStyleIdx="2" presStyleCnt="3"/>
      <dgm:spPr/>
    </dgm:pt>
    <dgm:pt modelId="{860F1F2E-6440-44C6-BDAE-771A08EBE3C7}" type="pres">
      <dgm:prSet presAssocID="{F557B8E0-95C4-481B-9745-29D74AC7A4E6}" presName="Name21" presStyleCnt="0"/>
      <dgm:spPr/>
    </dgm:pt>
    <dgm:pt modelId="{5E845D69-5231-45E8-99BC-4059ED7817D0}" type="pres">
      <dgm:prSet presAssocID="{F557B8E0-95C4-481B-9745-29D74AC7A4E6}" presName="level2Shape" presStyleLbl="node2" presStyleIdx="1" presStyleCnt="2"/>
      <dgm:spPr/>
    </dgm:pt>
    <dgm:pt modelId="{43DC8F77-77B9-4BBC-9C3D-0ADF5EA24FBA}" type="pres">
      <dgm:prSet presAssocID="{F557B8E0-95C4-481B-9745-29D74AC7A4E6}" presName="hierChild3" presStyleCnt="0"/>
      <dgm:spPr/>
    </dgm:pt>
    <dgm:pt modelId="{9471ECF4-1B84-4A45-8AE3-2FC799D91EF0}" type="pres">
      <dgm:prSet presAssocID="{770A229F-A951-4835-A117-12F79710632F}" presName="bgShapesFlow" presStyleCnt="0"/>
      <dgm:spPr/>
    </dgm:pt>
  </dgm:ptLst>
  <dgm:cxnLst>
    <dgm:cxn modelId="{846FC703-B4F4-4D91-9FF5-C3F84C01F38E}" srcId="{AA23AB04-874A-4486-9787-22032794A300}" destId="{F557B8E0-95C4-481B-9745-29D74AC7A4E6}" srcOrd="2" destOrd="0" parTransId="{45846A3B-8807-48C4-89D6-D2130CAC9CA7}" sibTransId="{B47C976F-03CD-4364-ACA2-04522CAB07E5}"/>
    <dgm:cxn modelId="{E83B800F-0CBE-45D1-AC1D-AA1BDAA66262}" srcId="{6BBF434B-A9FE-4E09-B7EF-DF9633C79DEE}" destId="{6D492477-4A08-41D2-8633-BA8FF10CD480}" srcOrd="0" destOrd="0" parTransId="{1F412CF9-1DCA-48CE-82EF-59D7621C14CF}" sibTransId="{0572FE7A-A794-466B-AC60-866B593465BF}"/>
    <dgm:cxn modelId="{671DDB10-A271-49ED-ABFE-3A832A534ECD}" type="presOf" srcId="{848ED8A3-F655-498F-B5EA-3A308E5D092A}" destId="{6E228D7C-8045-49A0-8BC4-4F06C9E57ED9}" srcOrd="0" destOrd="0" presId="urn:microsoft.com/office/officeart/2005/8/layout/hierarchy6"/>
    <dgm:cxn modelId="{65B1361A-2ADD-4BED-A6FF-F858BD2554A8}" srcId="{AA23AB04-874A-4486-9787-22032794A300}" destId="{3ABA24B5-77B1-42C0-BC3A-763E9894997E}" srcOrd="1" destOrd="0" parTransId="{38125594-7139-4722-8E0A-97EEA290F8DF}" sibTransId="{8B173946-9C6D-43C2-9FDB-EE262F6C9BDC}"/>
    <dgm:cxn modelId="{D7D60B28-3D97-4FE3-B4D1-32342055D777}" type="presOf" srcId="{ECE276D6-F6DE-4781-88A9-CBCA339C8760}" destId="{055FD808-F3C4-42DE-82BD-F03E8ED07B14}" srcOrd="0" destOrd="0" presId="urn:microsoft.com/office/officeart/2005/8/layout/hierarchy6"/>
    <dgm:cxn modelId="{A270F52B-13F7-425F-8CFA-23901506B8DB}" srcId="{770A229F-A951-4835-A117-12F79710632F}" destId="{AA23AB04-874A-4486-9787-22032794A300}" srcOrd="0" destOrd="0" parTransId="{B768CE7F-9606-4623-9F9F-B66434C91998}" sibTransId="{7067BC8E-6518-474A-A654-8C11EBBF59CB}"/>
    <dgm:cxn modelId="{B2916932-2137-452A-8955-9C3E82E4AEC5}" srcId="{87294563-566C-4C13-AE9E-FF5DCF1080D8}" destId="{ECE276D6-F6DE-4781-88A9-CBCA339C8760}" srcOrd="0" destOrd="0" parTransId="{2D74C77B-995B-4309-A9C2-4563B361435F}" sibTransId="{93766CBB-5130-48A6-AC89-0DF2C02ECB01}"/>
    <dgm:cxn modelId="{37145C34-144E-4C9D-AB0B-F00608ECA76C}" type="presOf" srcId="{6BBF434B-A9FE-4E09-B7EF-DF9633C79DEE}" destId="{26C9FF53-B3BE-4534-B026-ECEA0201DBC9}" srcOrd="0" destOrd="0" presId="urn:microsoft.com/office/officeart/2005/8/layout/hierarchy6"/>
    <dgm:cxn modelId="{7DEC4934-8E8C-47C5-9A1E-A142263035D1}" srcId="{6D492477-4A08-41D2-8633-BA8FF10CD480}" destId="{87294563-566C-4C13-AE9E-FF5DCF1080D8}" srcOrd="0" destOrd="0" parTransId="{E2929EFB-3CCE-4E00-99AC-C68E05BFF25E}" sibTransId="{81F1322B-6F6D-47D8-9039-DE5FD6D68833}"/>
    <dgm:cxn modelId="{4BD5AF35-1607-4A3D-AF64-82AC186DA920}" type="presOf" srcId="{6D492477-4A08-41D2-8633-BA8FF10CD480}" destId="{B803654E-BEBD-4136-9C19-0E7316BE92EF}" srcOrd="0" destOrd="0" presId="urn:microsoft.com/office/officeart/2005/8/layout/hierarchy6"/>
    <dgm:cxn modelId="{82F0D538-2408-40FD-AECA-336F9CA365D0}" type="presOf" srcId="{AA23AB04-874A-4486-9787-22032794A300}" destId="{6B538898-8AF6-4AF7-A000-02D9DBA4A693}" srcOrd="0" destOrd="0" presId="urn:microsoft.com/office/officeart/2005/8/layout/hierarchy6"/>
    <dgm:cxn modelId="{DFCE0064-4551-495C-B060-F2DEE156AD72}" srcId="{6BBF434B-A9FE-4E09-B7EF-DF9633C79DEE}" destId="{CBEB1425-9EEC-4F07-9F36-3475AFCA3586}" srcOrd="1" destOrd="0" parTransId="{2BD1F5BF-0289-4FEA-A1C6-9922F562F957}" sibTransId="{8EB5262E-AFB1-42C7-AA14-D29D49479CD7}"/>
    <dgm:cxn modelId="{96552A46-D358-4DCB-B301-C8578680D9A9}" type="presOf" srcId="{22DF5535-E05A-4F17-9B8C-2F9E66C52A1F}" destId="{E4C2249C-E6C0-43E6-BE98-B4B68FA7D35A}" srcOrd="0" destOrd="0" presId="urn:microsoft.com/office/officeart/2005/8/layout/hierarchy6"/>
    <dgm:cxn modelId="{C996BC4E-3AF7-4C0E-BBCC-1394F1B87DC3}" type="presOf" srcId="{3ABA24B5-77B1-42C0-BC3A-763E9894997E}" destId="{5880A1AD-F656-43AF-9261-E3E30E61A0F0}" srcOrd="0" destOrd="0" presId="urn:microsoft.com/office/officeart/2005/8/layout/hierarchy6"/>
    <dgm:cxn modelId="{60A7C655-9152-427F-824F-53AECAD96D06}" type="presOf" srcId="{F557B8E0-95C4-481B-9745-29D74AC7A4E6}" destId="{5E845D69-5231-45E8-99BC-4059ED7817D0}" srcOrd="0" destOrd="0" presId="urn:microsoft.com/office/officeart/2005/8/layout/hierarchy6"/>
    <dgm:cxn modelId="{A14F377D-6607-4153-ADAE-61A5F327BEDD}" type="presOf" srcId="{A53DAF97-DE67-4D36-A699-5BAF9345368F}" destId="{03394466-3C3C-437C-9189-5DD2CB4F8686}" srcOrd="0" destOrd="0" presId="urn:microsoft.com/office/officeart/2005/8/layout/hierarchy6"/>
    <dgm:cxn modelId="{F5D9D57E-6CC5-48C5-A0D3-D2B893D3D83A}" type="presOf" srcId="{87294563-566C-4C13-AE9E-FF5DCF1080D8}" destId="{A7F8C58A-5ED4-4D01-9A83-F896C87FED3D}" srcOrd="0" destOrd="0" presId="urn:microsoft.com/office/officeart/2005/8/layout/hierarchy6"/>
    <dgm:cxn modelId="{0837ACA2-1E33-47D8-81E5-D0C6F26BD01E}" type="presOf" srcId="{CA549595-A9F4-4DEB-8D0A-D116C36A6D8C}" destId="{B52FA4A4-50FB-4D79-809E-76DFC1CB49D5}" srcOrd="0" destOrd="0" presId="urn:microsoft.com/office/officeart/2005/8/layout/hierarchy6"/>
    <dgm:cxn modelId="{98F25EA5-BEBA-48DA-85F3-A103B724D99C}" srcId="{AA23AB04-874A-4486-9787-22032794A300}" destId="{22DF5535-E05A-4F17-9B8C-2F9E66C52A1F}" srcOrd="0" destOrd="0" parTransId="{9B9EA5B4-6DE4-4632-813A-F4454A5115B0}" sibTransId="{749F3004-51C2-4568-99ED-F6099473C4C0}"/>
    <dgm:cxn modelId="{26930FA8-2022-4F5B-A15E-B59370C35DED}" srcId="{711E11C9-6293-401A-AC7D-B2178F5E6C49}" destId="{6BBF434B-A9FE-4E09-B7EF-DF9633C79DEE}" srcOrd="0" destOrd="0" parTransId="{D5F55F5E-4F49-4ABD-8086-25B8C8490EA1}" sibTransId="{668CE0A9-3D49-4A6E-85B3-A482613882A5}"/>
    <dgm:cxn modelId="{E081B9A9-0400-4622-B4EB-FE719BA039D4}" type="presOf" srcId="{9B9EA5B4-6DE4-4632-813A-F4454A5115B0}" destId="{F9A43E94-BDB9-48E0-A52E-097E3E0108F5}" srcOrd="0" destOrd="0" presId="urn:microsoft.com/office/officeart/2005/8/layout/hierarchy6"/>
    <dgm:cxn modelId="{1BCB40AB-9985-4A73-8FA7-0DB3EA2DFED7}" srcId="{6D492477-4A08-41D2-8633-BA8FF10CD480}" destId="{90CF052A-49FC-4218-8B90-047F98EEB296}" srcOrd="1" destOrd="0" parTransId="{848ED8A3-F655-498F-B5EA-3A308E5D092A}" sibTransId="{5E403D77-D58A-4DE1-B404-12BC0ECC32ED}"/>
    <dgm:cxn modelId="{9B1887B1-7A8A-4322-B189-B3FBBBEB6BAB}" srcId="{22DF5535-E05A-4F17-9B8C-2F9E66C52A1F}" destId="{711E11C9-6293-401A-AC7D-B2178F5E6C49}" srcOrd="0" destOrd="0" parTransId="{A53DAF97-DE67-4D36-A699-5BAF9345368F}" sibTransId="{F0168A18-6820-43D7-86B5-E74BB15419FA}"/>
    <dgm:cxn modelId="{A6794BB2-9FD8-40F7-9B7B-037C4E01FAD1}" type="presOf" srcId="{711E11C9-6293-401A-AC7D-B2178F5E6C49}" destId="{F5735AE6-C044-4261-91B1-D3E27E6CC0C6}" srcOrd="0" destOrd="0" presId="urn:microsoft.com/office/officeart/2005/8/layout/hierarchy6"/>
    <dgm:cxn modelId="{DD8D80BC-4A2A-4976-9BB0-53206B366DB8}" type="presOf" srcId="{45846A3B-8807-48C4-89D6-D2130CAC9CA7}" destId="{0F5B38DE-3ECF-4A76-8A96-491884B39C0A}" srcOrd="0" destOrd="0" presId="urn:microsoft.com/office/officeart/2005/8/layout/hierarchy6"/>
    <dgm:cxn modelId="{817003BE-73AB-4E37-9895-F8F4D21C1819}" type="presOf" srcId="{CBEB1425-9EEC-4F07-9F36-3475AFCA3586}" destId="{8FFB4308-F33B-43DD-B114-3C6E53597ACA}" srcOrd="0" destOrd="0" presId="urn:microsoft.com/office/officeart/2005/8/layout/hierarchy6"/>
    <dgm:cxn modelId="{0FED13BE-437F-41D3-84D6-D37E5C9EAD44}" type="presOf" srcId="{1F412CF9-1DCA-48CE-82EF-59D7621C14CF}" destId="{59717BBE-E4D7-42BC-A4D3-A09FFD67C103}" srcOrd="0" destOrd="0" presId="urn:microsoft.com/office/officeart/2005/8/layout/hierarchy6"/>
    <dgm:cxn modelId="{8785F2C1-498D-4D5C-9089-366C000B5C87}" type="presOf" srcId="{2BD1F5BF-0289-4FEA-A1C6-9922F562F957}" destId="{B55E10B0-22AE-4F2A-9053-1D0682885BE2}" srcOrd="0" destOrd="0" presId="urn:microsoft.com/office/officeart/2005/8/layout/hierarchy6"/>
    <dgm:cxn modelId="{087FB4C3-A474-4DB5-8AD6-A146822C2EA8}" type="presOf" srcId="{90CF052A-49FC-4218-8B90-047F98EEB296}" destId="{CF817D09-BF9E-4175-97D1-E36AD91308DC}" srcOrd="0" destOrd="0" presId="urn:microsoft.com/office/officeart/2005/8/layout/hierarchy6"/>
    <dgm:cxn modelId="{E3B2B6C3-DC17-42DA-835F-4F766CE9316D}" type="presOf" srcId="{D5F55F5E-4F49-4ABD-8086-25B8C8490EA1}" destId="{92048EB2-0462-42FB-8BA4-383BF2555022}" srcOrd="0" destOrd="0" presId="urn:microsoft.com/office/officeart/2005/8/layout/hierarchy6"/>
    <dgm:cxn modelId="{4CFD31C9-0575-4428-A974-235737FA9C66}" type="presOf" srcId="{CDED4F2D-C8A4-47A1-94F3-D0B92C1F9FAF}" destId="{E64ACB63-3C3F-43A7-A9C3-AFFED89C7162}" srcOrd="0" destOrd="0" presId="urn:microsoft.com/office/officeart/2005/8/layout/hierarchy6"/>
    <dgm:cxn modelId="{96026CD6-8D4B-4AE3-9E6D-5606980B03CB}" srcId="{90CF052A-49FC-4218-8B90-047F98EEB296}" destId="{CDED4F2D-C8A4-47A1-94F3-D0B92C1F9FAF}" srcOrd="0" destOrd="0" parTransId="{CA549595-A9F4-4DEB-8D0A-D116C36A6D8C}" sibTransId="{F9C02F8D-4E4E-4274-B82B-85FBCE1D0B8B}"/>
    <dgm:cxn modelId="{420F14E3-818B-4AF4-A010-2FC1A911B404}" type="presOf" srcId="{E2929EFB-3CCE-4E00-99AC-C68E05BFF25E}" destId="{16EE123A-58F1-4175-A3B5-F885597A7A2A}" srcOrd="0" destOrd="0" presId="urn:microsoft.com/office/officeart/2005/8/layout/hierarchy6"/>
    <dgm:cxn modelId="{B3E01DF4-9893-48EA-82A6-ECACEFB286F0}" type="presOf" srcId="{2D74C77B-995B-4309-A9C2-4563B361435F}" destId="{9D8B8FB9-5A0B-476B-8C34-41B7C07D9503}" srcOrd="0" destOrd="0" presId="urn:microsoft.com/office/officeart/2005/8/layout/hierarchy6"/>
    <dgm:cxn modelId="{082100F6-7158-45CD-910C-0DBE5D78D1EB}" type="presOf" srcId="{38125594-7139-4722-8E0A-97EEA290F8DF}" destId="{4C09AE1B-D0B5-4AD2-B681-0B44131C9944}" srcOrd="0" destOrd="0" presId="urn:microsoft.com/office/officeart/2005/8/layout/hierarchy6"/>
    <dgm:cxn modelId="{477632FD-F6A7-4302-8A7D-EE40BF1D3439}" type="presOf" srcId="{770A229F-A951-4835-A117-12F79710632F}" destId="{A4AAE302-78C9-4550-AAA9-70D71028F717}" srcOrd="0" destOrd="0" presId="urn:microsoft.com/office/officeart/2005/8/layout/hierarchy6"/>
    <dgm:cxn modelId="{1C24BBDA-FEDF-4595-81D2-AD34A7B7764A}" type="presParOf" srcId="{A4AAE302-78C9-4550-AAA9-70D71028F717}" destId="{264D87E5-DE80-4405-92F1-F4A64538A296}" srcOrd="0" destOrd="0" presId="urn:microsoft.com/office/officeart/2005/8/layout/hierarchy6"/>
    <dgm:cxn modelId="{9AAF28C9-78C8-4071-930B-371A07B391A8}" type="presParOf" srcId="{264D87E5-DE80-4405-92F1-F4A64538A296}" destId="{B0A6557E-B300-4DDD-A9FD-8C6A317FA316}" srcOrd="0" destOrd="0" presId="urn:microsoft.com/office/officeart/2005/8/layout/hierarchy6"/>
    <dgm:cxn modelId="{7B0CC668-07FF-4164-8CC8-988F11A1FBE0}" type="presParOf" srcId="{B0A6557E-B300-4DDD-A9FD-8C6A317FA316}" destId="{7D141C86-7B16-4ABB-A896-D5C24DD50A1E}" srcOrd="0" destOrd="0" presId="urn:microsoft.com/office/officeart/2005/8/layout/hierarchy6"/>
    <dgm:cxn modelId="{2BB4FBFA-C101-423B-9356-FE8523E527A3}" type="presParOf" srcId="{7D141C86-7B16-4ABB-A896-D5C24DD50A1E}" destId="{6B538898-8AF6-4AF7-A000-02D9DBA4A693}" srcOrd="0" destOrd="0" presId="urn:microsoft.com/office/officeart/2005/8/layout/hierarchy6"/>
    <dgm:cxn modelId="{D759F81A-4598-4DBB-8C72-8524E695758C}" type="presParOf" srcId="{7D141C86-7B16-4ABB-A896-D5C24DD50A1E}" destId="{BC98C53D-1441-4AED-85C1-1DEFB07D5EB0}" srcOrd="1" destOrd="0" presId="urn:microsoft.com/office/officeart/2005/8/layout/hierarchy6"/>
    <dgm:cxn modelId="{533B3C13-53EE-4C92-AA41-CD51231D902D}" type="presParOf" srcId="{BC98C53D-1441-4AED-85C1-1DEFB07D5EB0}" destId="{F9A43E94-BDB9-48E0-A52E-097E3E0108F5}" srcOrd="0" destOrd="0" presId="urn:microsoft.com/office/officeart/2005/8/layout/hierarchy6"/>
    <dgm:cxn modelId="{EEB8BC33-013A-4A38-829F-2DF0A6D85E2C}" type="presParOf" srcId="{BC98C53D-1441-4AED-85C1-1DEFB07D5EB0}" destId="{7D8B6BDA-6E40-4734-A653-ECC38D39F707}" srcOrd="1" destOrd="0" presId="urn:microsoft.com/office/officeart/2005/8/layout/hierarchy6"/>
    <dgm:cxn modelId="{8CF7352D-4C2B-4EBE-A792-3BB9D9C16E64}" type="presParOf" srcId="{7D8B6BDA-6E40-4734-A653-ECC38D39F707}" destId="{E4C2249C-E6C0-43E6-BE98-B4B68FA7D35A}" srcOrd="0" destOrd="0" presId="urn:microsoft.com/office/officeart/2005/8/layout/hierarchy6"/>
    <dgm:cxn modelId="{F06C5C09-BF52-4409-A841-99C1F8213D8D}" type="presParOf" srcId="{7D8B6BDA-6E40-4734-A653-ECC38D39F707}" destId="{7C13E0BD-1610-4F04-A3AF-6751F052668B}" srcOrd="1" destOrd="0" presId="urn:microsoft.com/office/officeart/2005/8/layout/hierarchy6"/>
    <dgm:cxn modelId="{0431DAC6-D45E-4DCE-B048-F87C664ED421}" type="presParOf" srcId="{7C13E0BD-1610-4F04-A3AF-6751F052668B}" destId="{03394466-3C3C-437C-9189-5DD2CB4F8686}" srcOrd="0" destOrd="0" presId="urn:microsoft.com/office/officeart/2005/8/layout/hierarchy6"/>
    <dgm:cxn modelId="{9A0D1E9F-6722-4A94-9873-B2F0EA4CD4BC}" type="presParOf" srcId="{7C13E0BD-1610-4F04-A3AF-6751F052668B}" destId="{76CF6467-30D4-4C24-9B69-11A3B74D0DB5}" srcOrd="1" destOrd="0" presId="urn:microsoft.com/office/officeart/2005/8/layout/hierarchy6"/>
    <dgm:cxn modelId="{F511CE2D-49B6-45E9-A79D-242D99BCD835}" type="presParOf" srcId="{76CF6467-30D4-4C24-9B69-11A3B74D0DB5}" destId="{F5735AE6-C044-4261-91B1-D3E27E6CC0C6}" srcOrd="0" destOrd="0" presId="urn:microsoft.com/office/officeart/2005/8/layout/hierarchy6"/>
    <dgm:cxn modelId="{7E95FB27-9C67-41EC-8EB7-7AFCB3BDC3FB}" type="presParOf" srcId="{76CF6467-30D4-4C24-9B69-11A3B74D0DB5}" destId="{9AD34B18-B15C-46D7-8DB6-6E2BDCE96C9E}" srcOrd="1" destOrd="0" presId="urn:microsoft.com/office/officeart/2005/8/layout/hierarchy6"/>
    <dgm:cxn modelId="{01FDB4F8-3165-4110-8FE0-743B1BBE3914}" type="presParOf" srcId="{9AD34B18-B15C-46D7-8DB6-6E2BDCE96C9E}" destId="{92048EB2-0462-42FB-8BA4-383BF2555022}" srcOrd="0" destOrd="0" presId="urn:microsoft.com/office/officeart/2005/8/layout/hierarchy6"/>
    <dgm:cxn modelId="{DF96BF9D-9FF4-4B65-BE87-0A8414C29934}" type="presParOf" srcId="{9AD34B18-B15C-46D7-8DB6-6E2BDCE96C9E}" destId="{D26B4A76-15B5-45FA-BB4C-D2FC56EEFA2B}" srcOrd="1" destOrd="0" presId="urn:microsoft.com/office/officeart/2005/8/layout/hierarchy6"/>
    <dgm:cxn modelId="{2D2CBB9F-20EB-42E6-B3E7-2FB5876C530A}" type="presParOf" srcId="{D26B4A76-15B5-45FA-BB4C-D2FC56EEFA2B}" destId="{26C9FF53-B3BE-4534-B026-ECEA0201DBC9}" srcOrd="0" destOrd="0" presId="urn:microsoft.com/office/officeart/2005/8/layout/hierarchy6"/>
    <dgm:cxn modelId="{63A78BC4-6E7F-46B2-900A-B5A5F5650801}" type="presParOf" srcId="{D26B4A76-15B5-45FA-BB4C-D2FC56EEFA2B}" destId="{A8581BD0-6F00-4017-9C2E-47051E642036}" srcOrd="1" destOrd="0" presId="urn:microsoft.com/office/officeart/2005/8/layout/hierarchy6"/>
    <dgm:cxn modelId="{2150D903-7452-470F-96FA-82F0F90FDDD3}" type="presParOf" srcId="{A8581BD0-6F00-4017-9C2E-47051E642036}" destId="{59717BBE-E4D7-42BC-A4D3-A09FFD67C103}" srcOrd="0" destOrd="0" presId="urn:microsoft.com/office/officeart/2005/8/layout/hierarchy6"/>
    <dgm:cxn modelId="{63F61C57-0C40-4737-ADC5-FD5D984E2609}" type="presParOf" srcId="{A8581BD0-6F00-4017-9C2E-47051E642036}" destId="{13CF3526-E228-49C9-A635-E09F2C0F3690}" srcOrd="1" destOrd="0" presId="urn:microsoft.com/office/officeart/2005/8/layout/hierarchy6"/>
    <dgm:cxn modelId="{DB571425-372C-493D-8F14-4B44BDB9EFB7}" type="presParOf" srcId="{13CF3526-E228-49C9-A635-E09F2C0F3690}" destId="{B803654E-BEBD-4136-9C19-0E7316BE92EF}" srcOrd="0" destOrd="0" presId="urn:microsoft.com/office/officeart/2005/8/layout/hierarchy6"/>
    <dgm:cxn modelId="{43678898-6F63-41CF-B283-2C0E33C3D683}" type="presParOf" srcId="{13CF3526-E228-49C9-A635-E09F2C0F3690}" destId="{0E9FBBFF-A8E7-4FB8-BE0D-BF397D9E777E}" srcOrd="1" destOrd="0" presId="urn:microsoft.com/office/officeart/2005/8/layout/hierarchy6"/>
    <dgm:cxn modelId="{D0ACD5A3-D2BD-4EDF-814B-56FCC048513C}" type="presParOf" srcId="{0E9FBBFF-A8E7-4FB8-BE0D-BF397D9E777E}" destId="{16EE123A-58F1-4175-A3B5-F885597A7A2A}" srcOrd="0" destOrd="0" presId="urn:microsoft.com/office/officeart/2005/8/layout/hierarchy6"/>
    <dgm:cxn modelId="{BF04DAEF-8904-4A97-893E-86DA9C45A16A}" type="presParOf" srcId="{0E9FBBFF-A8E7-4FB8-BE0D-BF397D9E777E}" destId="{D25826EC-AEC1-4B4A-BAA2-2A9FE7809A31}" srcOrd="1" destOrd="0" presId="urn:microsoft.com/office/officeart/2005/8/layout/hierarchy6"/>
    <dgm:cxn modelId="{C3A3A42A-F4D3-4DFD-A738-AD8D3B39AC52}" type="presParOf" srcId="{D25826EC-AEC1-4B4A-BAA2-2A9FE7809A31}" destId="{A7F8C58A-5ED4-4D01-9A83-F896C87FED3D}" srcOrd="0" destOrd="0" presId="urn:microsoft.com/office/officeart/2005/8/layout/hierarchy6"/>
    <dgm:cxn modelId="{84ED97DD-28D2-45D1-AE0C-0EE742D2CDFA}" type="presParOf" srcId="{D25826EC-AEC1-4B4A-BAA2-2A9FE7809A31}" destId="{6BAC22A2-282A-43F8-AA47-4FD4AE59DA85}" srcOrd="1" destOrd="0" presId="urn:microsoft.com/office/officeart/2005/8/layout/hierarchy6"/>
    <dgm:cxn modelId="{84ABBBE0-8CDF-4D7C-8F0E-DAA998B1AC7C}" type="presParOf" srcId="{6BAC22A2-282A-43F8-AA47-4FD4AE59DA85}" destId="{9D8B8FB9-5A0B-476B-8C34-41B7C07D9503}" srcOrd="0" destOrd="0" presId="urn:microsoft.com/office/officeart/2005/8/layout/hierarchy6"/>
    <dgm:cxn modelId="{7DBD9440-83CA-49E5-878E-10477CDF7DC2}" type="presParOf" srcId="{6BAC22A2-282A-43F8-AA47-4FD4AE59DA85}" destId="{DB6848BD-7FE8-4499-9F6C-25C72FB6B50F}" srcOrd="1" destOrd="0" presId="urn:microsoft.com/office/officeart/2005/8/layout/hierarchy6"/>
    <dgm:cxn modelId="{D4112F77-CD6B-4D63-BFDF-5E879D162A4A}" type="presParOf" srcId="{DB6848BD-7FE8-4499-9F6C-25C72FB6B50F}" destId="{055FD808-F3C4-42DE-82BD-F03E8ED07B14}" srcOrd="0" destOrd="0" presId="urn:microsoft.com/office/officeart/2005/8/layout/hierarchy6"/>
    <dgm:cxn modelId="{FC7C1477-70DA-4103-BC90-33EA437E63F7}" type="presParOf" srcId="{DB6848BD-7FE8-4499-9F6C-25C72FB6B50F}" destId="{A4DE74A8-2A86-4A22-BC5F-433E3125E8C2}" srcOrd="1" destOrd="0" presId="urn:microsoft.com/office/officeart/2005/8/layout/hierarchy6"/>
    <dgm:cxn modelId="{7FDD9B48-88CF-459E-AD10-995D5F9E8888}" type="presParOf" srcId="{0E9FBBFF-A8E7-4FB8-BE0D-BF397D9E777E}" destId="{6E228D7C-8045-49A0-8BC4-4F06C9E57ED9}" srcOrd="2" destOrd="0" presId="urn:microsoft.com/office/officeart/2005/8/layout/hierarchy6"/>
    <dgm:cxn modelId="{E30AD795-2209-4068-907B-678D3D6BF4BA}" type="presParOf" srcId="{0E9FBBFF-A8E7-4FB8-BE0D-BF397D9E777E}" destId="{E681103C-8454-480C-AEAA-E207C8DB9510}" srcOrd="3" destOrd="0" presId="urn:microsoft.com/office/officeart/2005/8/layout/hierarchy6"/>
    <dgm:cxn modelId="{F07E04E3-B185-4E38-80F2-547A37A5AA18}" type="presParOf" srcId="{E681103C-8454-480C-AEAA-E207C8DB9510}" destId="{CF817D09-BF9E-4175-97D1-E36AD91308DC}" srcOrd="0" destOrd="0" presId="urn:microsoft.com/office/officeart/2005/8/layout/hierarchy6"/>
    <dgm:cxn modelId="{C7E4D60E-AD1E-4D90-97B3-2F9D5DEC7766}" type="presParOf" srcId="{E681103C-8454-480C-AEAA-E207C8DB9510}" destId="{1032DEA3-B6A3-4BA4-A5C7-D87287465E33}" srcOrd="1" destOrd="0" presId="urn:microsoft.com/office/officeart/2005/8/layout/hierarchy6"/>
    <dgm:cxn modelId="{C589F6AC-3345-4BB0-B3D2-10C59047F3EC}" type="presParOf" srcId="{1032DEA3-B6A3-4BA4-A5C7-D87287465E33}" destId="{B52FA4A4-50FB-4D79-809E-76DFC1CB49D5}" srcOrd="0" destOrd="0" presId="urn:microsoft.com/office/officeart/2005/8/layout/hierarchy6"/>
    <dgm:cxn modelId="{7466C802-44FE-4B4B-ABA3-E6FFDD22A4FB}" type="presParOf" srcId="{1032DEA3-B6A3-4BA4-A5C7-D87287465E33}" destId="{9DDCDC40-8517-48C5-8A89-0FF41595A132}" srcOrd="1" destOrd="0" presId="urn:microsoft.com/office/officeart/2005/8/layout/hierarchy6"/>
    <dgm:cxn modelId="{94C2F664-D9EB-468D-BAB3-206C2DC0B0D4}" type="presParOf" srcId="{9DDCDC40-8517-48C5-8A89-0FF41595A132}" destId="{E64ACB63-3C3F-43A7-A9C3-AFFED89C7162}" srcOrd="0" destOrd="0" presId="urn:microsoft.com/office/officeart/2005/8/layout/hierarchy6"/>
    <dgm:cxn modelId="{7B98EC08-B988-4C68-BE43-C553427CE912}" type="presParOf" srcId="{9DDCDC40-8517-48C5-8A89-0FF41595A132}" destId="{2CD78F7F-2D2F-4709-8819-F5DD4557420E}" srcOrd="1" destOrd="0" presId="urn:microsoft.com/office/officeart/2005/8/layout/hierarchy6"/>
    <dgm:cxn modelId="{DF0329C2-99AE-4922-9AB9-470170E90388}" type="presParOf" srcId="{A8581BD0-6F00-4017-9C2E-47051E642036}" destId="{B55E10B0-22AE-4F2A-9053-1D0682885BE2}" srcOrd="2" destOrd="0" presId="urn:microsoft.com/office/officeart/2005/8/layout/hierarchy6"/>
    <dgm:cxn modelId="{F789DBF2-4B95-4DED-BB12-EDF7B84217A5}" type="presParOf" srcId="{A8581BD0-6F00-4017-9C2E-47051E642036}" destId="{36BC74C0-8C7B-4606-B96D-CD291EEB916B}" srcOrd="3" destOrd="0" presId="urn:microsoft.com/office/officeart/2005/8/layout/hierarchy6"/>
    <dgm:cxn modelId="{01DEB7F9-82D2-401E-80AC-56DE3756F1F0}" type="presParOf" srcId="{36BC74C0-8C7B-4606-B96D-CD291EEB916B}" destId="{8FFB4308-F33B-43DD-B114-3C6E53597ACA}" srcOrd="0" destOrd="0" presId="urn:microsoft.com/office/officeart/2005/8/layout/hierarchy6"/>
    <dgm:cxn modelId="{5A95CB08-468E-4742-B580-F129957AA06A}" type="presParOf" srcId="{36BC74C0-8C7B-4606-B96D-CD291EEB916B}" destId="{B57CE60E-F086-4A40-A30E-DC12ADCB976A}" srcOrd="1" destOrd="0" presId="urn:microsoft.com/office/officeart/2005/8/layout/hierarchy6"/>
    <dgm:cxn modelId="{89F0A85C-F958-49D6-AA7A-7C93AA726303}" type="presParOf" srcId="{BC98C53D-1441-4AED-85C1-1DEFB07D5EB0}" destId="{4C09AE1B-D0B5-4AD2-B681-0B44131C9944}" srcOrd="2" destOrd="0" presId="urn:microsoft.com/office/officeart/2005/8/layout/hierarchy6"/>
    <dgm:cxn modelId="{54159206-6050-4246-A028-C63299AFED0F}" type="presParOf" srcId="{BC98C53D-1441-4AED-85C1-1DEFB07D5EB0}" destId="{44E68B22-063A-4A72-BA6F-069EE5E1086D}" srcOrd="3" destOrd="0" presId="urn:microsoft.com/office/officeart/2005/8/layout/hierarchy6"/>
    <dgm:cxn modelId="{050F4F85-1777-4B66-A7D1-5829282C32B0}" type="presParOf" srcId="{44E68B22-063A-4A72-BA6F-069EE5E1086D}" destId="{5880A1AD-F656-43AF-9261-E3E30E61A0F0}" srcOrd="0" destOrd="0" presId="urn:microsoft.com/office/officeart/2005/8/layout/hierarchy6"/>
    <dgm:cxn modelId="{67FF0824-E29E-4309-8E78-7A514EEC44EA}" type="presParOf" srcId="{44E68B22-063A-4A72-BA6F-069EE5E1086D}" destId="{90E1B436-9206-4685-8970-8CDDFBBF69B5}" srcOrd="1" destOrd="0" presId="urn:microsoft.com/office/officeart/2005/8/layout/hierarchy6"/>
    <dgm:cxn modelId="{05D96CF7-E4A5-44FA-B1CE-CAAE4C484CEB}" type="presParOf" srcId="{BC98C53D-1441-4AED-85C1-1DEFB07D5EB0}" destId="{0F5B38DE-3ECF-4A76-8A96-491884B39C0A}" srcOrd="4" destOrd="0" presId="urn:microsoft.com/office/officeart/2005/8/layout/hierarchy6"/>
    <dgm:cxn modelId="{65AC1229-F436-4FE9-A00F-45A60C3729E4}" type="presParOf" srcId="{BC98C53D-1441-4AED-85C1-1DEFB07D5EB0}" destId="{860F1F2E-6440-44C6-BDAE-771A08EBE3C7}" srcOrd="5" destOrd="0" presId="urn:microsoft.com/office/officeart/2005/8/layout/hierarchy6"/>
    <dgm:cxn modelId="{450B07A0-208B-4998-BD01-105CAA23C9D4}" type="presParOf" srcId="{860F1F2E-6440-44C6-BDAE-771A08EBE3C7}" destId="{5E845D69-5231-45E8-99BC-4059ED7817D0}" srcOrd="0" destOrd="0" presId="urn:microsoft.com/office/officeart/2005/8/layout/hierarchy6"/>
    <dgm:cxn modelId="{06C6FF03-A050-4023-87AD-1DAB4F6E1223}" type="presParOf" srcId="{860F1F2E-6440-44C6-BDAE-771A08EBE3C7}" destId="{43DC8F77-77B9-4BBC-9C3D-0ADF5EA24FBA}" srcOrd="1" destOrd="0" presId="urn:microsoft.com/office/officeart/2005/8/layout/hierarchy6"/>
    <dgm:cxn modelId="{7A5E20BF-86FA-43F9-B84C-75D0D1E14892}" type="presParOf" srcId="{A4AAE302-78C9-4550-AAA9-70D71028F717}" destId="{9471ECF4-1B84-4A45-8AE3-2FC799D91EF0}" srcOrd="1" destOrd="0" presId="urn:microsoft.com/office/officeart/2005/8/layout/hierarchy6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6B538898-8AF6-4AF7-A000-02D9DBA4A693}">
      <dsp:nvSpPr>
        <dsp:cNvPr id="0" name=""/>
        <dsp:cNvSpPr/>
      </dsp:nvSpPr>
      <dsp:spPr>
        <a:xfrm>
          <a:off x="3203736" y="901"/>
          <a:ext cx="612348" cy="408232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shade val="51000"/>
                <a:satMod val="130000"/>
              </a:schemeClr>
            </a:gs>
            <a:gs pos="80000">
              <a:schemeClr val="lt1">
                <a:hueOff val="0"/>
                <a:satOff val="0"/>
                <a:lumOff val="0"/>
                <a:alphaOff val="0"/>
                <a:shade val="93000"/>
                <a:satMod val="130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shade val="94000"/>
                <a:satMod val="135000"/>
              </a:schemeClr>
            </a:gs>
          </a:gsLst>
          <a:lin ang="16200000" scaled="0"/>
        </a:gra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22860" tIns="22860" rIns="22860" bIns="2286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b="1" kern="1200"/>
            <a:t>Managing Director</a:t>
          </a:r>
        </a:p>
      </dsp:txBody>
      <dsp:txXfrm>
        <a:off x="3215693" y="12858"/>
        <a:ext cx="588434" cy="384318"/>
      </dsp:txXfrm>
    </dsp:sp>
    <dsp:sp modelId="{F9A43E94-BDB9-48E0-A52E-097E3E0108F5}">
      <dsp:nvSpPr>
        <dsp:cNvPr id="0" name=""/>
        <dsp:cNvSpPr/>
      </dsp:nvSpPr>
      <dsp:spPr>
        <a:xfrm>
          <a:off x="2713858" y="409134"/>
          <a:ext cx="796052" cy="163292"/>
        </a:xfrm>
        <a:custGeom>
          <a:avLst/>
          <a:gdLst/>
          <a:ahLst/>
          <a:cxnLst/>
          <a:rect l="0" t="0" r="0" b="0"/>
          <a:pathLst>
            <a:path>
              <a:moveTo>
                <a:pt x="796052" y="0"/>
              </a:moveTo>
              <a:lnTo>
                <a:pt x="796052" y="81646"/>
              </a:lnTo>
              <a:lnTo>
                <a:pt x="0" y="81646"/>
              </a:lnTo>
              <a:lnTo>
                <a:pt x="0" y="163292"/>
              </a:lnTo>
            </a:path>
          </a:pathLst>
        </a:custGeom>
        <a:noFill/>
        <a:ln w="25400" cap="flat" cmpd="sng" algn="ctr">
          <a:solidFill>
            <a:schemeClr val="dk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4C2249C-E6C0-43E6-BE98-B4B68FA7D35A}">
      <dsp:nvSpPr>
        <dsp:cNvPr id="0" name=""/>
        <dsp:cNvSpPr/>
      </dsp:nvSpPr>
      <dsp:spPr>
        <a:xfrm>
          <a:off x="2407683" y="572427"/>
          <a:ext cx="612348" cy="408232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shade val="51000"/>
                <a:satMod val="130000"/>
              </a:schemeClr>
            </a:gs>
            <a:gs pos="80000">
              <a:schemeClr val="lt1">
                <a:hueOff val="0"/>
                <a:satOff val="0"/>
                <a:lumOff val="0"/>
                <a:alphaOff val="0"/>
                <a:shade val="93000"/>
                <a:satMod val="130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shade val="94000"/>
                <a:satMod val="135000"/>
              </a:schemeClr>
            </a:gs>
          </a:gsLst>
          <a:lin ang="16200000" scaled="0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22860" tIns="22860" rIns="22860" bIns="2286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b="1" kern="1200"/>
            <a:t>Manager (HVAC Engineering)</a:t>
          </a:r>
        </a:p>
      </dsp:txBody>
      <dsp:txXfrm>
        <a:off x="2419640" y="584384"/>
        <a:ext cx="588434" cy="384318"/>
      </dsp:txXfrm>
    </dsp:sp>
    <dsp:sp modelId="{03394466-3C3C-437C-9189-5DD2CB4F8686}">
      <dsp:nvSpPr>
        <dsp:cNvPr id="0" name=""/>
        <dsp:cNvSpPr/>
      </dsp:nvSpPr>
      <dsp:spPr>
        <a:xfrm>
          <a:off x="2668138" y="980659"/>
          <a:ext cx="91440" cy="163292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63292"/>
              </a:lnTo>
            </a:path>
          </a:pathLst>
        </a:custGeom>
        <a:noFill/>
        <a:ln w="254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5735AE6-C044-4261-91B1-D3E27E6CC0C6}">
      <dsp:nvSpPr>
        <dsp:cNvPr id="0" name=""/>
        <dsp:cNvSpPr/>
      </dsp:nvSpPr>
      <dsp:spPr>
        <a:xfrm>
          <a:off x="2407683" y="1143952"/>
          <a:ext cx="612348" cy="408232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shade val="51000"/>
                <a:satMod val="130000"/>
              </a:schemeClr>
            </a:gs>
            <a:gs pos="80000">
              <a:schemeClr val="lt1">
                <a:hueOff val="0"/>
                <a:satOff val="0"/>
                <a:lumOff val="0"/>
                <a:alphaOff val="0"/>
                <a:shade val="93000"/>
                <a:satMod val="130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shade val="94000"/>
                <a:satMod val="135000"/>
              </a:schemeClr>
            </a:gs>
          </a:gsLst>
          <a:lin ang="16200000" scaled="0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22860" tIns="22860" rIns="22860" bIns="2286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b="1" kern="1200"/>
            <a:t>Project Manager</a:t>
          </a:r>
        </a:p>
      </dsp:txBody>
      <dsp:txXfrm>
        <a:off x="2419640" y="1155909"/>
        <a:ext cx="588434" cy="384318"/>
      </dsp:txXfrm>
    </dsp:sp>
    <dsp:sp modelId="{92048EB2-0462-42FB-8BA4-383BF2555022}">
      <dsp:nvSpPr>
        <dsp:cNvPr id="0" name=""/>
        <dsp:cNvSpPr/>
      </dsp:nvSpPr>
      <dsp:spPr>
        <a:xfrm>
          <a:off x="2668138" y="1552184"/>
          <a:ext cx="91440" cy="163292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63292"/>
              </a:lnTo>
            </a:path>
          </a:pathLst>
        </a:custGeom>
        <a:noFill/>
        <a:ln w="254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6C9FF53-B3BE-4534-B026-ECEA0201DBC9}">
      <dsp:nvSpPr>
        <dsp:cNvPr id="0" name=""/>
        <dsp:cNvSpPr/>
      </dsp:nvSpPr>
      <dsp:spPr>
        <a:xfrm>
          <a:off x="2407683" y="1715477"/>
          <a:ext cx="612348" cy="408232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shade val="51000"/>
                <a:satMod val="130000"/>
              </a:schemeClr>
            </a:gs>
            <a:gs pos="80000">
              <a:schemeClr val="lt1">
                <a:hueOff val="0"/>
                <a:satOff val="0"/>
                <a:lumOff val="0"/>
                <a:alphaOff val="0"/>
                <a:shade val="93000"/>
                <a:satMod val="130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shade val="94000"/>
                <a:satMod val="135000"/>
              </a:schemeClr>
            </a:gs>
          </a:gsLst>
          <a:lin ang="16200000" scaled="0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22860" tIns="22860" rIns="22860" bIns="2286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b="1" kern="1200"/>
            <a:t>Technical Supervisor</a:t>
          </a:r>
        </a:p>
      </dsp:txBody>
      <dsp:txXfrm>
        <a:off x="2419640" y="1727434"/>
        <a:ext cx="588434" cy="384318"/>
      </dsp:txXfrm>
    </dsp:sp>
    <dsp:sp modelId="{59717BBE-E4D7-42BC-A4D3-A09FFD67C103}">
      <dsp:nvSpPr>
        <dsp:cNvPr id="0" name=""/>
        <dsp:cNvSpPr/>
      </dsp:nvSpPr>
      <dsp:spPr>
        <a:xfrm>
          <a:off x="2315831" y="2123709"/>
          <a:ext cx="398026" cy="163292"/>
        </a:xfrm>
        <a:custGeom>
          <a:avLst/>
          <a:gdLst/>
          <a:ahLst/>
          <a:cxnLst/>
          <a:rect l="0" t="0" r="0" b="0"/>
          <a:pathLst>
            <a:path>
              <a:moveTo>
                <a:pt x="398026" y="0"/>
              </a:moveTo>
              <a:lnTo>
                <a:pt x="398026" y="81646"/>
              </a:lnTo>
              <a:lnTo>
                <a:pt x="0" y="81646"/>
              </a:lnTo>
              <a:lnTo>
                <a:pt x="0" y="163292"/>
              </a:lnTo>
            </a:path>
          </a:pathLst>
        </a:custGeom>
        <a:noFill/>
        <a:ln w="254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803654E-BEBD-4136-9C19-0E7316BE92EF}">
      <dsp:nvSpPr>
        <dsp:cNvPr id="0" name=""/>
        <dsp:cNvSpPr/>
      </dsp:nvSpPr>
      <dsp:spPr>
        <a:xfrm>
          <a:off x="2009657" y="2287002"/>
          <a:ext cx="612348" cy="408232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shade val="51000"/>
                <a:satMod val="130000"/>
              </a:schemeClr>
            </a:gs>
            <a:gs pos="80000">
              <a:schemeClr val="lt1">
                <a:hueOff val="0"/>
                <a:satOff val="0"/>
                <a:lumOff val="0"/>
                <a:alphaOff val="0"/>
                <a:shade val="93000"/>
                <a:satMod val="130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shade val="94000"/>
                <a:satMod val="135000"/>
              </a:schemeClr>
            </a:gs>
          </a:gsLst>
          <a:lin ang="16200000" scaled="0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22860" tIns="22860" rIns="22860" bIns="2286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b="1" kern="1200"/>
            <a:t>Project Engineer</a:t>
          </a:r>
        </a:p>
      </dsp:txBody>
      <dsp:txXfrm>
        <a:off x="2021614" y="2298959"/>
        <a:ext cx="588434" cy="384318"/>
      </dsp:txXfrm>
    </dsp:sp>
    <dsp:sp modelId="{16EE123A-58F1-4175-A3B5-F885597A7A2A}">
      <dsp:nvSpPr>
        <dsp:cNvPr id="0" name=""/>
        <dsp:cNvSpPr/>
      </dsp:nvSpPr>
      <dsp:spPr>
        <a:xfrm>
          <a:off x="1917805" y="2695234"/>
          <a:ext cx="398026" cy="163292"/>
        </a:xfrm>
        <a:custGeom>
          <a:avLst/>
          <a:gdLst/>
          <a:ahLst/>
          <a:cxnLst/>
          <a:rect l="0" t="0" r="0" b="0"/>
          <a:pathLst>
            <a:path>
              <a:moveTo>
                <a:pt x="398026" y="0"/>
              </a:moveTo>
              <a:lnTo>
                <a:pt x="398026" y="81646"/>
              </a:lnTo>
              <a:lnTo>
                <a:pt x="0" y="81646"/>
              </a:lnTo>
              <a:lnTo>
                <a:pt x="0" y="163292"/>
              </a:lnTo>
            </a:path>
          </a:pathLst>
        </a:custGeom>
        <a:noFill/>
        <a:ln w="254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7F8C58A-5ED4-4D01-9A83-F896C87FED3D}">
      <dsp:nvSpPr>
        <dsp:cNvPr id="0" name=""/>
        <dsp:cNvSpPr/>
      </dsp:nvSpPr>
      <dsp:spPr>
        <a:xfrm>
          <a:off x="1611631" y="2858527"/>
          <a:ext cx="612348" cy="408232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shade val="51000"/>
                <a:satMod val="130000"/>
              </a:schemeClr>
            </a:gs>
            <a:gs pos="80000">
              <a:schemeClr val="lt1">
                <a:hueOff val="0"/>
                <a:satOff val="0"/>
                <a:lumOff val="0"/>
                <a:alphaOff val="0"/>
                <a:shade val="93000"/>
                <a:satMod val="130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shade val="94000"/>
                <a:satMod val="135000"/>
              </a:schemeClr>
            </a:gs>
          </a:gsLst>
          <a:lin ang="16200000" scaled="0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22860" tIns="22860" rIns="22860" bIns="2286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b="1" kern="1200"/>
            <a:t>Site Supervisor (Piping) - 2 People</a:t>
          </a:r>
        </a:p>
      </dsp:txBody>
      <dsp:txXfrm>
        <a:off x="1623588" y="2870484"/>
        <a:ext cx="588434" cy="384318"/>
      </dsp:txXfrm>
    </dsp:sp>
    <dsp:sp modelId="{9D8B8FB9-5A0B-476B-8C34-41B7C07D9503}">
      <dsp:nvSpPr>
        <dsp:cNvPr id="0" name=""/>
        <dsp:cNvSpPr/>
      </dsp:nvSpPr>
      <dsp:spPr>
        <a:xfrm>
          <a:off x="1872085" y="3266759"/>
          <a:ext cx="91440" cy="163292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63292"/>
              </a:lnTo>
            </a:path>
          </a:pathLst>
        </a:custGeom>
        <a:noFill/>
        <a:ln w="254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55FD808-F3C4-42DE-82BD-F03E8ED07B14}">
      <dsp:nvSpPr>
        <dsp:cNvPr id="0" name=""/>
        <dsp:cNvSpPr/>
      </dsp:nvSpPr>
      <dsp:spPr>
        <a:xfrm>
          <a:off x="1611631" y="3430052"/>
          <a:ext cx="612348" cy="408232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shade val="51000"/>
                <a:satMod val="130000"/>
              </a:schemeClr>
            </a:gs>
            <a:gs pos="80000">
              <a:schemeClr val="lt1">
                <a:hueOff val="0"/>
                <a:satOff val="0"/>
                <a:lumOff val="0"/>
                <a:alphaOff val="0"/>
                <a:shade val="93000"/>
                <a:satMod val="130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shade val="94000"/>
                <a:satMod val="135000"/>
              </a:schemeClr>
            </a:gs>
          </a:gsLst>
          <a:lin ang="16200000" scaled="0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22860" tIns="22860" rIns="22860" bIns="2286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b="1" kern="1200"/>
            <a:t>Technician &amp; Foreman - 12 People</a:t>
          </a:r>
        </a:p>
      </dsp:txBody>
      <dsp:txXfrm>
        <a:off x="1623588" y="3442009"/>
        <a:ext cx="588434" cy="384318"/>
      </dsp:txXfrm>
    </dsp:sp>
    <dsp:sp modelId="{6E228D7C-8045-49A0-8BC4-4F06C9E57ED9}">
      <dsp:nvSpPr>
        <dsp:cNvPr id="0" name=""/>
        <dsp:cNvSpPr/>
      </dsp:nvSpPr>
      <dsp:spPr>
        <a:xfrm>
          <a:off x="2315831" y="2695234"/>
          <a:ext cx="398026" cy="16329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1646"/>
              </a:lnTo>
              <a:lnTo>
                <a:pt x="398026" y="81646"/>
              </a:lnTo>
              <a:lnTo>
                <a:pt x="398026" y="163292"/>
              </a:lnTo>
            </a:path>
          </a:pathLst>
        </a:custGeom>
        <a:noFill/>
        <a:ln w="254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F817D09-BF9E-4175-97D1-E36AD91308DC}">
      <dsp:nvSpPr>
        <dsp:cNvPr id="0" name=""/>
        <dsp:cNvSpPr/>
      </dsp:nvSpPr>
      <dsp:spPr>
        <a:xfrm>
          <a:off x="2407683" y="2858527"/>
          <a:ext cx="612348" cy="408232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shade val="51000"/>
                <a:satMod val="130000"/>
              </a:schemeClr>
            </a:gs>
            <a:gs pos="80000">
              <a:schemeClr val="lt1">
                <a:hueOff val="0"/>
                <a:satOff val="0"/>
                <a:lumOff val="0"/>
                <a:alphaOff val="0"/>
                <a:shade val="93000"/>
                <a:satMod val="130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shade val="94000"/>
                <a:satMod val="135000"/>
              </a:schemeClr>
            </a:gs>
          </a:gsLst>
          <a:lin ang="16200000" scaled="0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22860" tIns="22860" rIns="22860" bIns="2286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b="1" kern="1200"/>
            <a:t>Site Super Visor (Ducting) - 1 People</a:t>
          </a:r>
        </a:p>
      </dsp:txBody>
      <dsp:txXfrm>
        <a:off x="2419640" y="2870484"/>
        <a:ext cx="588434" cy="384318"/>
      </dsp:txXfrm>
    </dsp:sp>
    <dsp:sp modelId="{B52FA4A4-50FB-4D79-809E-76DFC1CB49D5}">
      <dsp:nvSpPr>
        <dsp:cNvPr id="0" name=""/>
        <dsp:cNvSpPr/>
      </dsp:nvSpPr>
      <dsp:spPr>
        <a:xfrm>
          <a:off x="2668138" y="3266759"/>
          <a:ext cx="91440" cy="163292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63292"/>
              </a:lnTo>
            </a:path>
          </a:pathLst>
        </a:custGeom>
        <a:noFill/>
        <a:ln w="254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64ACB63-3C3F-43A7-A9C3-AFFED89C7162}">
      <dsp:nvSpPr>
        <dsp:cNvPr id="0" name=""/>
        <dsp:cNvSpPr/>
      </dsp:nvSpPr>
      <dsp:spPr>
        <a:xfrm>
          <a:off x="2407683" y="3430052"/>
          <a:ext cx="612348" cy="408232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shade val="51000"/>
                <a:satMod val="130000"/>
              </a:schemeClr>
            </a:gs>
            <a:gs pos="80000">
              <a:schemeClr val="lt1">
                <a:hueOff val="0"/>
                <a:satOff val="0"/>
                <a:lumOff val="0"/>
                <a:alphaOff val="0"/>
                <a:shade val="93000"/>
                <a:satMod val="130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shade val="94000"/>
                <a:satMod val="135000"/>
              </a:schemeClr>
            </a:gs>
          </a:gsLst>
          <a:lin ang="16200000" scaled="0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22860" tIns="22860" rIns="22860" bIns="2286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b="1" kern="1200"/>
            <a:t>Technician &amp; Foreman - 8 People</a:t>
          </a:r>
        </a:p>
      </dsp:txBody>
      <dsp:txXfrm>
        <a:off x="2419640" y="3442009"/>
        <a:ext cx="588434" cy="384318"/>
      </dsp:txXfrm>
    </dsp:sp>
    <dsp:sp modelId="{B55E10B0-22AE-4F2A-9053-1D0682885BE2}">
      <dsp:nvSpPr>
        <dsp:cNvPr id="0" name=""/>
        <dsp:cNvSpPr/>
      </dsp:nvSpPr>
      <dsp:spPr>
        <a:xfrm>
          <a:off x="2713858" y="2123709"/>
          <a:ext cx="398026" cy="16329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1646"/>
              </a:lnTo>
              <a:lnTo>
                <a:pt x="398026" y="81646"/>
              </a:lnTo>
              <a:lnTo>
                <a:pt x="398026" y="163292"/>
              </a:lnTo>
            </a:path>
          </a:pathLst>
        </a:custGeom>
        <a:noFill/>
        <a:ln w="254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FFB4308-F33B-43DD-B114-3C6E53597ACA}">
      <dsp:nvSpPr>
        <dsp:cNvPr id="0" name=""/>
        <dsp:cNvSpPr/>
      </dsp:nvSpPr>
      <dsp:spPr>
        <a:xfrm>
          <a:off x="2805710" y="2287002"/>
          <a:ext cx="612348" cy="408232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shade val="51000"/>
                <a:satMod val="130000"/>
              </a:schemeClr>
            </a:gs>
            <a:gs pos="80000">
              <a:schemeClr val="lt1">
                <a:hueOff val="0"/>
                <a:satOff val="0"/>
                <a:lumOff val="0"/>
                <a:alphaOff val="0"/>
                <a:shade val="93000"/>
                <a:satMod val="130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shade val="94000"/>
                <a:satMod val="135000"/>
              </a:schemeClr>
            </a:gs>
          </a:gsLst>
          <a:lin ang="16200000" scaled="0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22860" tIns="22860" rIns="22860" bIns="2286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b="1" kern="1200"/>
            <a:t>Safety Officer</a:t>
          </a:r>
        </a:p>
      </dsp:txBody>
      <dsp:txXfrm>
        <a:off x="2817667" y="2298959"/>
        <a:ext cx="588434" cy="384318"/>
      </dsp:txXfrm>
    </dsp:sp>
    <dsp:sp modelId="{4C09AE1B-D0B5-4AD2-B681-0B44131C9944}">
      <dsp:nvSpPr>
        <dsp:cNvPr id="0" name=""/>
        <dsp:cNvSpPr/>
      </dsp:nvSpPr>
      <dsp:spPr>
        <a:xfrm>
          <a:off x="3464190" y="409134"/>
          <a:ext cx="91440" cy="163292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63292"/>
              </a:lnTo>
            </a:path>
          </a:pathLst>
        </a:custGeom>
        <a:noFill/>
        <a:ln w="25400" cap="flat" cmpd="sng" algn="ctr">
          <a:solidFill>
            <a:schemeClr val="dk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880A1AD-F656-43AF-9261-E3E30E61A0F0}">
      <dsp:nvSpPr>
        <dsp:cNvPr id="0" name=""/>
        <dsp:cNvSpPr/>
      </dsp:nvSpPr>
      <dsp:spPr>
        <a:xfrm>
          <a:off x="3203736" y="572427"/>
          <a:ext cx="612348" cy="408232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shade val="51000"/>
                <a:satMod val="130000"/>
              </a:schemeClr>
            </a:gs>
            <a:gs pos="80000">
              <a:schemeClr val="lt1">
                <a:hueOff val="0"/>
                <a:satOff val="0"/>
                <a:lumOff val="0"/>
                <a:alphaOff val="0"/>
                <a:shade val="93000"/>
                <a:satMod val="130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shade val="94000"/>
                <a:satMod val="135000"/>
              </a:schemeClr>
            </a:gs>
          </a:gsLst>
          <a:lin ang="16200000" scaled="0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22860" tIns="22860" rIns="22860" bIns="2286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b="1" kern="1200"/>
            <a:t>Supply Chain</a:t>
          </a:r>
        </a:p>
      </dsp:txBody>
      <dsp:txXfrm>
        <a:off x="3215693" y="584384"/>
        <a:ext cx="588434" cy="384318"/>
      </dsp:txXfrm>
    </dsp:sp>
    <dsp:sp modelId="{0F5B38DE-3ECF-4A76-8A96-491884B39C0A}">
      <dsp:nvSpPr>
        <dsp:cNvPr id="0" name=""/>
        <dsp:cNvSpPr/>
      </dsp:nvSpPr>
      <dsp:spPr>
        <a:xfrm>
          <a:off x="3509910" y="409134"/>
          <a:ext cx="796052" cy="16329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1646"/>
              </a:lnTo>
              <a:lnTo>
                <a:pt x="796052" y="81646"/>
              </a:lnTo>
              <a:lnTo>
                <a:pt x="796052" y="163292"/>
              </a:lnTo>
            </a:path>
          </a:pathLst>
        </a:custGeom>
        <a:noFill/>
        <a:ln w="25400" cap="flat" cmpd="sng" algn="ctr">
          <a:solidFill>
            <a:schemeClr val="dk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E845D69-5231-45E8-99BC-4059ED7817D0}">
      <dsp:nvSpPr>
        <dsp:cNvPr id="0" name=""/>
        <dsp:cNvSpPr/>
      </dsp:nvSpPr>
      <dsp:spPr>
        <a:xfrm>
          <a:off x="3999789" y="572427"/>
          <a:ext cx="612348" cy="408232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shade val="51000"/>
                <a:satMod val="130000"/>
              </a:schemeClr>
            </a:gs>
            <a:gs pos="80000">
              <a:schemeClr val="lt1">
                <a:hueOff val="0"/>
                <a:satOff val="0"/>
                <a:lumOff val="0"/>
                <a:alphaOff val="0"/>
                <a:shade val="93000"/>
                <a:satMod val="130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shade val="94000"/>
                <a:satMod val="135000"/>
              </a:schemeClr>
            </a:gs>
          </a:gsLst>
          <a:lin ang="16200000" scaled="0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22860" tIns="22860" rIns="22860" bIns="2286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b="1" kern="1200"/>
            <a:t>Accounts</a:t>
          </a:r>
        </a:p>
      </dsp:txBody>
      <dsp:txXfrm>
        <a:off x="4011746" y="584384"/>
        <a:ext cx="588434" cy="384318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ierarchy6">
  <dgm:title val=""/>
  <dgm:desc val=""/>
  <dgm:catLst>
    <dgm:cat type="hierarchy" pri="3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4">
          <dgm:prSet phldr="1"/>
        </dgm:pt>
        <dgm:pt modelId="5">
          <dgm:prSet phldr="1"/>
        </dgm:pt>
        <dgm:pt modelId="6">
          <dgm:prSet phldr="1"/>
        </dgm:pt>
      </dgm:ptLst>
      <dgm:cxnLst>
        <dgm:cxn modelId="7" srcId="0" destId="1" srcOrd="0" destOrd="0"/>
        <dgm:cxn modelId="8" srcId="1" destId="2" srcOrd="0" destOrd="0"/>
        <dgm:cxn modelId="9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10" srcId="0" destId="4" srcOrd="1" destOrd="0"/>
        <dgm:cxn modelId="11" srcId="0" destId="5" srcOrd="2" destOrd="0"/>
        <dgm:cxn modelId="12" srcId="0" destId="6" srcOrd="3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  <dgm:pt modelId="2"/>
        <dgm:pt modelId="3"/>
      </dgm:ptLst>
      <dgm:cxnLst>
        <dgm:cxn modelId="4" srcId="0" destId="1" srcOrd="0" destOrd="0"/>
        <dgm:cxn modelId="13" srcId="1" destId="11" srcOrd="0" destOrd="0"/>
        <dgm:cxn modelId="14" srcId="1" destId="12" srcOrd="1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  <dgm:pt modelId="4"/>
        <dgm:pt modelId="5"/>
        <dgm:pt modelId="6"/>
        <dgm:pt modelId="7"/>
      </dgm:ptLst>
      <dgm:cxnLst>
        <dgm:cxn modelId="8" srcId="0" destId="1" srcOrd="0" destOrd="0"/>
        <dgm:cxn modelId="9" srcId="1" destId="2" srcOrd="0" destOrd="0"/>
        <dgm:cxn modelId="10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  <dgm:cxn modelId="11" srcId="0" destId="4" srcOrd="1" destOrd="0"/>
        <dgm:cxn modelId="12" srcId="0" destId="5" srcOrd="2" destOrd="0"/>
        <dgm:cxn modelId="13" srcId="0" destId="6" srcOrd="3" destOrd="0"/>
        <dgm:cxn modelId="14" srcId="0" destId="7" srcOrd="4" destOrd="0"/>
      </dgm:cxnLst>
      <dgm:bg/>
      <dgm:whole/>
    </dgm:dataModel>
  </dgm:clrData>
  <dgm:layoutNode name="mainComposite">
    <dgm:varLst>
      <dgm:chPref val="1"/>
      <dgm:dir/>
      <dgm:animOne val="branch"/>
      <dgm:animLvl val="lvl"/>
      <dgm:resizeHandles val="exact"/>
    </dgm:varLst>
    <dgm:alg type="composite">
      <dgm:param type="vertAlign" val="mid"/>
      <dgm:param type="horzAlign" val="ctr"/>
    </dgm:alg>
    <dgm:shape xmlns:r="http://schemas.openxmlformats.org/officeDocument/2006/relationships" r:blip="">
      <dgm:adjLst/>
    </dgm:shape>
    <dgm:presOf/>
    <dgm:choose name="Name0">
      <dgm:if name="Name1" axis="ch" ptType="node" func="cnt" op="gte" val="2">
        <dgm:choose name="Name2">
          <dgm:if name="Name3" func="var" arg="dir" op="equ" val="norm">
            <dgm:constrLst>
              <dgm:constr type="l" for="ch" forName="hierFlow" refType="w" fact="0.3"/>
              <dgm:constr type="t" for="ch" forName="hierFlow"/>
              <dgm:constr type="r" for="ch" forName="hierFlow" refType="w" fact="0.98"/>
              <dgm:constr type="b" for="ch" forName="hierFlow" refType="h" fact="0.98"/>
              <dgm:constr type="l" for="ch" forName="bgShapesFlow"/>
              <dgm:constr type="t" for="ch" forName="bgShapesFlow"/>
              <dgm:constr type="r" for="ch" forName="bgShapesFlow" refType="w"/>
              <dgm:constr type="b" for="ch" forName="bgShapesFlow" refType="h"/>
              <dgm:constr type="w" for="des" forName="level1Shape" refType="w"/>
              <dgm:constr type="h" for="des" forName="level1Shape" refType="w" refFor="des" refForName="level1Shape" fact="0.66667"/>
              <dgm:constr type="w" for="des" forName="level2Shape" refType="w" refFor="des" refForName="level1Shape" op="equ"/>
              <dgm:constr type="h" for="des" forName="level2Shape" refType="h" refFor="des" refForName="level1Shape" op="equ"/>
              <dgm:constr type="sp" for="des" refType="h" refFor="des" refForName="level1Shape" op="equ" fact="0.4"/>
              <dgm:constr type="sibSp" for="des" forName="hierChild1" refType="w" refFor="des" refForName="level1Shape" op="equ" fact="0.3"/>
              <dgm:constr type="sibSp" for="des" forName="hierChild2" refType="sibSp" refFor="des" refForName="hierChild1" op="equ"/>
              <dgm:constr type="sibSp" for="des" forName="hierChild3" refType="sibSp" refFor="des" refForName="hierChild1" op="equ"/>
              <dgm:constr type="userA" for="des" refType="h" refFor="des" refForName="level1Shape" op="equ"/>
              <dgm:constr type="userB" for="des" refType="sp" refFor="des" op="equ"/>
              <dgm:constr type="h" for="des" forName="firstBuf" refType="h" refFor="des" refForName="level1Shape" fact="0.1"/>
            </dgm:constrLst>
          </dgm:if>
          <dgm:else name="Name4">
            <dgm:constrLst>
              <dgm:constr type="l" for="ch" forName="hierFlow" refType="w" fact="0.02"/>
              <dgm:constr type="t" for="ch" forName="hierFlow"/>
              <dgm:constr type="r" for="ch" forName="hierFlow" refType="w" fact="0.7"/>
              <dgm:constr type="b" for="ch" forName="hierFlow" refType="h" fact="0.98"/>
              <dgm:constr type="l" for="ch" forName="bgShapesFlow"/>
              <dgm:constr type="t" for="ch" forName="bgShapesFlow"/>
              <dgm:constr type="r" for="ch" forName="bgShapesFlow" refType="w"/>
              <dgm:constr type="b" for="ch" forName="bgShapesFlow" refType="h"/>
              <dgm:constr type="w" for="des" forName="level1Shape" refType="w"/>
              <dgm:constr type="h" for="des" forName="level1Shape" refType="w" refFor="des" refForName="level1Shape" fact="0.66667"/>
              <dgm:constr type="w" for="des" forName="level2Shape" refType="w" refFor="des" refForName="level1Shape" op="equ"/>
              <dgm:constr type="h" for="des" forName="level2Shape" refType="h" refFor="des" refForName="level1Shape" op="equ"/>
              <dgm:constr type="sp" for="des" refType="h" refFor="des" refForName="level1Shape" op="equ" fact="0.4"/>
              <dgm:constr type="sibSp" for="des" forName="hierChild1" refType="w" refFor="des" refForName="level1Shape" op="equ" fact="0.3"/>
              <dgm:constr type="sibSp" for="des" forName="hierChild2" refType="sibSp" refFor="des" refForName="hierChild1" op="equ"/>
              <dgm:constr type="sibSp" for="des" forName="hierChild3" refType="sibSp" refFor="des" refForName="hierChild1" op="equ"/>
              <dgm:constr type="userA" for="des" refType="h" refFor="des" refForName="level1Shape" op="equ"/>
              <dgm:constr type="userB" for="des" refType="sp" refFor="des" op="equ"/>
              <dgm:constr type="h" for="des" forName="firstBuf" refType="h" refFor="des" refForName="level1Shape" fact="0.1"/>
            </dgm:constrLst>
          </dgm:else>
        </dgm:choose>
      </dgm:if>
      <dgm:else name="Name5">
        <dgm:constrLst>
          <dgm:constr type="l" for="ch" forName="hierFlow"/>
          <dgm:constr type="t" for="ch" forName="hierFlow"/>
          <dgm:constr type="r" for="ch" forName="hierFlow" refType="w"/>
          <dgm:constr type="b" for="ch" forName="hierFlow" refType="h"/>
          <dgm:constr type="l" for="ch" forName="bgShapesFlow"/>
          <dgm:constr type="t" for="ch" forName="bgShapesFlow"/>
          <dgm:constr type="r" for="ch" forName="bgShapesFlow" refType="w"/>
          <dgm:constr type="b" for="ch" forName="bgShapesFlow" refType="h"/>
          <dgm:constr type="w" for="des" forName="level1Shape" refType="w"/>
          <dgm:constr type="h" for="des" forName="level1Shape" refType="w" refFor="des" refForName="level1Shape" fact="0.66667"/>
          <dgm:constr type="w" for="des" forName="level2Shape" refType="w" refFor="des" refForName="level1Shape" op="equ"/>
          <dgm:constr type="h" for="des" forName="level2Shape" refType="h" refFor="des" refForName="level1Shape" op="equ"/>
          <dgm:constr type="sp" for="des" refType="h" refFor="des" refForName="level1Shape" op="equ" fact="0.4"/>
          <dgm:constr type="sibSp" for="des" forName="hierChild1" refType="w" refFor="des" refForName="level1Shape" op="equ" fact="0.3"/>
          <dgm:constr type="sibSp" for="des" forName="hierChild2" refType="sibSp" refFor="des" refForName="hierChild1" op="equ"/>
          <dgm:constr type="sibSp" for="des" forName="hierChild3" refType="sibSp" refFor="des" refForName="hierChild1" op="equ"/>
          <dgm:constr type="userA" for="des" refType="h" refFor="des" refForName="level1Shape" op="equ"/>
          <dgm:constr type="userB" for="des" refType="sp" refFor="des" op="equ"/>
          <dgm:constr type="h" for="des" forName="firstBuf" refType="h" refFor="des" refForName="level1Shape" fact="0.1"/>
        </dgm:constrLst>
      </dgm:else>
    </dgm:choose>
    <dgm:ruleLst/>
    <dgm:layoutNode name="hierFlow">
      <dgm:alg type="lin">
        <dgm:param type="linDir" val="fromT"/>
        <dgm:param type="nodeVertAlign" val="t"/>
        <dgm:param type="vertAlign" val="t"/>
        <dgm:param type="nodeHorzAlign" val="ctr"/>
        <dgm:param type="fallback" val="2D"/>
      </dgm:alg>
      <dgm:shape xmlns:r="http://schemas.openxmlformats.org/officeDocument/2006/relationships" r:blip="">
        <dgm:adjLst/>
      </dgm:shape>
      <dgm:presOf/>
      <dgm:constrLst/>
      <dgm:ruleLst/>
      <dgm:choose name="Name6">
        <dgm:if name="Name7" axis="ch" ptType="node" func="cnt" op="gte" val="2">
          <dgm:layoutNode name="firstBuf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if>
        <dgm:else name="Name8"/>
      </dgm:choose>
      <dgm:layoutNode name="hierChild1">
        <dgm:varLst>
          <dgm:chPref val="1"/>
          <dgm:animOne val="branch"/>
          <dgm:animLvl val="lvl"/>
        </dgm:varLst>
        <dgm:choose name="Name9">
          <dgm:if name="Name10" func="var" arg="dir" op="equ" val="norm">
            <dgm:alg type="hierChild">
              <dgm:param type="linDir" val="fromL"/>
              <dgm:param type="vertAlign" val="t"/>
            </dgm:alg>
          </dgm:if>
          <dgm:else name="Name11">
            <dgm:alg type="hierChild">
              <dgm:param type="linDir" val="fromR"/>
              <dgm:param type="vertAlign" val="t"/>
            </dgm:alg>
          </dgm:else>
        </dgm:choose>
        <dgm:shape xmlns:r="http://schemas.openxmlformats.org/officeDocument/2006/relationships" r:blip="">
          <dgm:adjLst/>
        </dgm:shape>
        <dgm:presOf/>
        <dgm:constrLst>
          <dgm:constr type="primFontSz" for="des" ptType="node" op="equ"/>
        </dgm:constrLst>
        <dgm:ruleLst/>
        <dgm:forEach name="Name12" axis="ch" cnt="3">
          <dgm:forEach name="Name13" axis="self" ptType="node">
            <dgm:layoutNode name="Name14">
              <dgm:alg type="hierRoot"/>
              <dgm:shape xmlns:r="http://schemas.openxmlformats.org/officeDocument/2006/relationships" r:blip="">
                <dgm:adjLst/>
              </dgm:shape>
              <dgm:presOf/>
              <dgm:constrLst/>
              <dgm:ruleLst/>
              <dgm:layoutNode name="level1Shape" styleLbl="node0">
                <dgm:varLst>
                  <dgm:chPref val="3"/>
                </dgm:varLst>
                <dgm:alg type="tx"/>
                <dgm:shape xmlns:r="http://schemas.openxmlformats.org/officeDocument/2006/relationships" type="roundRect" r:blip="">
                  <dgm:adjLst>
                    <dgm:adj idx="1" val="0.1"/>
                  </dgm:adjLst>
                </dgm:shape>
                <dgm:presOf axis="self"/>
                <dgm:constrLst>
                  <dgm:constr type="primFontSz" val="65"/>
                  <dgm:constr type="tMarg" refType="primFontSz" fact="0.3"/>
                  <dgm:constr type="bMarg" refType="primFontSz" fact="0.3"/>
                  <dgm:constr type="lMarg" refType="primFontSz" fact="0.3"/>
                  <dgm:constr type="rMarg" refType="primFontSz" fact="0.3"/>
                </dgm:constrLst>
                <dgm:ruleLst>
                  <dgm:rule type="primFontSz" val="5" fact="NaN" max="NaN"/>
                </dgm:ruleLst>
              </dgm:layoutNode>
              <dgm:layoutNode name="hierChild2">
                <dgm:choose name="Name15">
                  <dgm:if name="Name16" func="var" arg="dir" op="equ" val="norm">
                    <dgm:alg type="hierChild">
                      <dgm:param type="linDir" val="fromL"/>
                    </dgm:alg>
                  </dgm:if>
                  <dgm:else name="Name17">
                    <dgm:alg type="hierChild">
                      <dgm:param type="linDir" val="fromR"/>
                    </dgm:alg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constrLst/>
                <dgm:ruleLst/>
                <dgm:forEach name="repeat" axis="ch">
                  <dgm:forEach name="Name18" axis="self" ptType="parTrans" cnt="1">
                    <dgm:layoutNode name="Name19">
                      <dgm:alg type="conn">
                        <dgm:param type="dim" val="1D"/>
                        <dgm:param type="endSty" val="noArr"/>
                        <dgm:param type="connRout" val="bend"/>
                        <dgm:param type="begPts" val="bCtr"/>
                        <dgm:param type="endPts" val="tCtr"/>
                      </dgm:alg>
                      <dgm:shape xmlns:r="http://schemas.openxmlformats.org/officeDocument/2006/relationships" type="conn" r:blip="">
                        <dgm:adjLst/>
                      </dgm:shape>
                      <dgm:presOf axis="self"/>
                      <dgm:constrLst>
                        <dgm:constr type="w" val="1"/>
                        <dgm:constr type="h" val="1"/>
                        <dgm:constr type="begPad"/>
                        <dgm:constr type="endPad"/>
                      </dgm:constrLst>
                      <dgm:ruleLst/>
                    </dgm:layoutNode>
                  </dgm:forEach>
                  <dgm:forEach name="Name20" axis="self" ptType="node">
                    <dgm:layoutNode name="Name21">
                      <dgm:alg type="hierRoot"/>
                      <dgm:shape xmlns:r="http://schemas.openxmlformats.org/officeDocument/2006/relationships" r:blip="">
                        <dgm:adjLst/>
                      </dgm:shape>
                      <dgm:presOf/>
                      <dgm:constrLst/>
                      <dgm:ruleLst/>
                      <dgm:layoutNode name="level2Shape">
                        <dgm:alg type="tx"/>
                        <dgm:shape xmlns:r="http://schemas.openxmlformats.org/officeDocument/2006/relationships" type="roundRect" r:blip="">
                          <dgm:adjLst>
                            <dgm:adj idx="1" val="0.1"/>
                          </dgm:adjLst>
                        </dgm:shape>
                        <dgm:presOf axis="self"/>
                        <dgm:constrLst>
                          <dgm:constr type="primFontSz" val="65"/>
                          <dgm:constr type="tMarg" refType="primFontSz" fact="0.3"/>
                          <dgm:constr type="bMarg" refType="primFontSz" fact="0.3"/>
                          <dgm:constr type="lMarg" refType="primFontSz" fact="0.3"/>
                          <dgm:constr type="rMarg" refType="primFontSz" fact="0.3"/>
                        </dgm:constrLst>
                        <dgm:ruleLst>
                          <dgm:rule type="primFontSz" val="5" fact="NaN" max="NaN"/>
                        </dgm:ruleLst>
                      </dgm:layoutNode>
                      <dgm:layoutNode name="hierChild3">
                        <dgm:choose name="Name22">
                          <dgm:if name="Name23" func="var" arg="dir" op="equ" val="norm">
                            <dgm:alg type="hierChild">
                              <dgm:param type="linDir" val="fromL"/>
                            </dgm:alg>
                          </dgm:if>
                          <dgm:else name="Name24">
                            <dgm:alg type="hierChild">
                              <dgm:param type="linDir" val="fromR"/>
                            </dgm:alg>
                          </dgm:else>
                        </dgm:choose>
                        <dgm:shape xmlns:r="http://schemas.openxmlformats.org/officeDocument/2006/relationships" r:blip="">
                          <dgm:adjLst/>
                        </dgm:shape>
                        <dgm:presOf/>
                        <dgm:constrLst/>
                        <dgm:ruleLst/>
                        <dgm:forEach name="Name25" ref="repeat"/>
                      </dgm:layoutNode>
                    </dgm:layoutNode>
                  </dgm:forEach>
                </dgm:forEach>
              </dgm:layoutNode>
            </dgm:layoutNode>
          </dgm:forEach>
        </dgm:forEach>
      </dgm:layoutNode>
    </dgm:layoutNode>
    <dgm:layoutNode name="bgShapesFlow">
      <dgm:alg type="lin">
        <dgm:param type="linDir" val="fromT"/>
        <dgm:param type="nodeVertAlign" val="t"/>
        <dgm:param type="vertAlign" val="t"/>
        <dgm:param type="nodeHorzAlign" val="ctr"/>
      </dgm:alg>
      <dgm:shape xmlns:r="http://schemas.openxmlformats.org/officeDocument/2006/relationships" r:blip="">
        <dgm:adjLst/>
      </dgm:shape>
      <dgm:presOf/>
      <dgm:constrLst>
        <dgm:constr type="userB"/>
        <dgm:constr type="w" for="ch" forName="rectComp" refType="w"/>
        <dgm:constr type="h" for="ch" forName="rectComp" refType="h"/>
        <dgm:constr type="w" for="des" forName="bgRect" refType="w"/>
        <dgm:constr type="primFontSz" for="des" forName="bgRectTx" op="equ"/>
      </dgm:constrLst>
      <dgm:ruleLst/>
      <dgm:forEach name="Name26" axis="ch" ptType="node" st="2">
        <dgm:layoutNode name="rectComp">
          <dgm:alg type="composite">
            <dgm:param type="vertAlign" val="t"/>
            <dgm:param type="horzAlign" val="ctr"/>
          </dgm:alg>
          <dgm:shape xmlns:r="http://schemas.openxmlformats.org/officeDocument/2006/relationships" r:blip="">
            <dgm:adjLst/>
          </dgm:shape>
          <dgm:presOf/>
          <dgm:choose name="Name27">
            <dgm:if name="Name28" func="var" arg="dir" op="equ" val="norm">
              <dgm:constrLst>
                <dgm:constr type="userA"/>
                <dgm:constr type="l" for="ch" forName="bgRect"/>
                <dgm:constr type="t" for="ch" forName="bgRect"/>
                <dgm:constr type="h" for="ch" forName="bgRect" refType="userA" fact="1.2"/>
                <dgm:constr type="l" for="ch" forName="bgRectTx"/>
                <dgm:constr type="t" for="ch" forName="bgRectTx"/>
                <dgm:constr type="w" for="ch" forName="bgRectTx" refType="w" refFor="ch" refForName="bgRect" fact="0.3"/>
                <dgm:constr type="h" for="ch" forName="bgRectTx" refType="h" refFor="ch" refForName="bgRect" op="equ"/>
              </dgm:constrLst>
            </dgm:if>
            <dgm:else name="Name29">
              <dgm:constrLst>
                <dgm:constr type="userA"/>
                <dgm:constr type="l" for="ch" forName="bgRect"/>
                <dgm:constr type="t" for="ch" forName="bgRect"/>
                <dgm:constr type="h" for="ch" forName="bgRect" refType="userA" fact="1.2"/>
                <dgm:constr type="r" for="ch" forName="bgRectTx" refType="w"/>
                <dgm:constr type="t" for="ch" forName="bgRectTx"/>
                <dgm:constr type="w" for="ch" forName="bgRectTx" refType="w" refFor="ch" refForName="bgRect" fact="0.3"/>
                <dgm:constr type="h" for="ch" forName="bgRectTx" refType="h" refFor="ch" refForName="bgRect" op="equ"/>
              </dgm:constrLst>
            </dgm:else>
          </dgm:choose>
          <dgm:ruleLst/>
          <dgm:layoutNode name="bgRect" styleLbl="bgShp">
            <dgm:alg type="sp"/>
            <dgm:shape xmlns:r="http://schemas.openxmlformats.org/officeDocument/2006/relationships" type="roundRect" r:blip="" zOrderOff="-999">
              <dgm:adjLst>
                <dgm:adj idx="1" val="0.1"/>
              </dgm:adjLst>
            </dgm:shape>
            <dgm:presOf axis="desOrSelf" ptType="node"/>
            <dgm:constrLst/>
            <dgm:ruleLst/>
          </dgm:layoutNode>
          <dgm:layoutNode name="bgRectTx" styleLbl="bgShp">
            <dgm:varLst>
              <dgm:bulletEnabled val="1"/>
            </dgm:varLst>
            <dgm:alg type="tx"/>
            <dgm:presOf axis="desOrSelf" ptType="node"/>
            <dgm:shape xmlns:r="http://schemas.openxmlformats.org/officeDocument/2006/relationships" type="rect" r:blip="" zOrderOff="-999" hideGeom="1">
              <dgm:adjLst/>
            </dgm:shape>
            <dgm:constrLst>
              <dgm:constr type="primFontSz" val="65"/>
            </dgm:constrLst>
            <dgm:ruleLst>
              <dgm:rule type="primFontSz" val="5" fact="NaN" max="NaN"/>
            </dgm:ruleLst>
          </dgm:layoutNode>
        </dgm:layoutNode>
        <dgm:choose name="Name30">
          <dgm:if name="Name31" axis="self" ptType="node" func="revPos" op="gte" val="2">
            <dgm:layoutNode name="spComp">
              <dgm:alg type="composite">
                <dgm:param type="vertAlign" val="t"/>
                <dgm:param type="horzAlign" val="ctr"/>
              </dgm:alg>
              <dgm:shape xmlns:r="http://schemas.openxmlformats.org/officeDocument/2006/relationships" r:blip="">
                <dgm:adjLst/>
              </dgm:shape>
              <dgm:presOf/>
              <dgm:constrLst>
                <dgm:constr type="userA"/>
                <dgm:constr type="userB"/>
                <dgm:constr type="l" for="ch" forName="vSp"/>
                <dgm:constr type="t" for="ch" forName="vSp"/>
                <dgm:constr type="h" for="ch" forName="vSp" refType="userB"/>
                <dgm:constr type="hOff" for="ch" forName="vSp" refType="userA" fact="-0.2"/>
              </dgm:constrLst>
              <dgm:ruleLst/>
              <dgm:layoutNode name="vSp">
                <dgm:alg type="sp"/>
                <dgm:shape xmlns:r="http://schemas.openxmlformats.org/officeDocument/2006/relationships" r:blip="">
                  <dgm:adjLst/>
                </dgm:shape>
                <dgm:presOf/>
                <dgm:constrLst/>
                <dgm:ruleLst/>
              </dgm:layoutNode>
            </dgm:layoutNode>
          </dgm:if>
          <dgm:else name="Name32"/>
        </dgm:choose>
      </dgm:forEach>
    </dgm:layoutNod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3d1">
  <dgm:title val=""/>
  <dgm:desc val=""/>
  <dgm:catLst>
    <dgm:cat type="3D" pri="111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flat" dir="t"/>
    </dgm:scene3d>
    <dgm:sp3d z="1270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flat" dir="t"/>
    </dgm:scene3d>
    <dgm:sp3d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flat" dir="t"/>
    </dgm:scene3d>
    <dgm:sp3d z="-1905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flat" dir="t"/>
    </dgm:scene3d>
    <dgm:sp3d z="-80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flat" dir="t"/>
    </dgm:scene3d>
    <dgm:sp3d z="127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flat" dir="t"/>
    </dgm:scene3d>
    <dgm:sp3d z="-1905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flat" dir="t"/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flat" dir="t"/>
    </dgm:scene3d>
    <dgm:sp3d z="-10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FollowNode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flat" dir="t"/>
    </dgm:scene3d>
    <dgm:sp3d z="-190500" extrusionH="127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z="190500"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34" Type="http://schemas.openxmlformats.org/officeDocument/2006/relationships/image" Target="../media/image34.jp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pn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pn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8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235646</xdr:colOff>
      <xdr:row>0</xdr:row>
      <xdr:rowOff>52873</xdr:rowOff>
    </xdr:from>
    <xdr:to>
      <xdr:col>13</xdr:col>
      <xdr:colOff>287215</xdr:colOff>
      <xdr:row>20</xdr:row>
      <xdr:rowOff>82060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655D0DDB-0BF8-84C0-6B4D-CDC42B8AF7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134471</xdr:colOff>
      <xdr:row>19</xdr:row>
      <xdr:rowOff>20294</xdr:rowOff>
    </xdr:from>
    <xdr:ext cx="941293" cy="944309"/>
    <xdr:pic>
      <xdr:nvPicPr>
        <xdr:cNvPr id="2" name="Picture 1" descr="Image result for full sleeve welding apron leather">
          <a:extLst>
            <a:ext uri="{FF2B5EF4-FFF2-40B4-BE49-F238E27FC236}">
              <a16:creationId xmlns:a16="http://schemas.microsoft.com/office/drawing/2014/main" id="{27519EDC-11D0-442D-83BC-F4C5B71A8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3671" y="3495014"/>
          <a:ext cx="941293" cy="9443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131781</xdr:colOff>
      <xdr:row>20</xdr:row>
      <xdr:rowOff>52706</xdr:rowOff>
    </xdr:from>
    <xdr:ext cx="908124" cy="910552"/>
    <xdr:pic>
      <xdr:nvPicPr>
        <xdr:cNvPr id="3" name="Picture 2" descr="Welding Gloves | Heat Resistant | Kevlar® Stitched | Reinforced Cow ...">
          <a:extLst>
            <a:ext uri="{FF2B5EF4-FFF2-40B4-BE49-F238E27FC236}">
              <a16:creationId xmlns:a16="http://schemas.microsoft.com/office/drawing/2014/main" id="{FFA41E2D-E061-4C5C-986A-BC298288C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0981" y="3710306"/>
          <a:ext cx="908124" cy="910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165653</xdr:colOff>
      <xdr:row>9</xdr:row>
      <xdr:rowOff>26504</xdr:rowOff>
    </xdr:from>
    <xdr:ext cx="775038" cy="940905"/>
    <xdr:pic>
      <xdr:nvPicPr>
        <xdr:cNvPr id="4" name="Picture 3" descr="Amazon.com : Heavy Duty Metal Retractable Badge Holder Reel with Belt ...">
          <a:extLst>
            <a:ext uri="{FF2B5EF4-FFF2-40B4-BE49-F238E27FC236}">
              <a16:creationId xmlns:a16="http://schemas.microsoft.com/office/drawing/2014/main" id="{C15AC7AD-92A1-441B-872A-38B391951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4853" y="1672424"/>
          <a:ext cx="775038" cy="940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112645</xdr:colOff>
      <xdr:row>11</xdr:row>
      <xdr:rowOff>13251</xdr:rowOff>
    </xdr:from>
    <xdr:ext cx="921023" cy="919400"/>
    <xdr:pic>
      <xdr:nvPicPr>
        <xdr:cNvPr id="5" name="Picture 4" descr="Vero1992 - Vero1992 (B) Engineer Safety Vest High Visibility Reflective ...">
          <a:extLst>
            <a:ext uri="{FF2B5EF4-FFF2-40B4-BE49-F238E27FC236}">
              <a16:creationId xmlns:a16="http://schemas.microsoft.com/office/drawing/2014/main" id="{F68394B7-86FE-47A1-8958-16B967BB6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1845" y="2024931"/>
          <a:ext cx="921023" cy="9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59545</xdr:colOff>
      <xdr:row>12</xdr:row>
      <xdr:rowOff>26505</xdr:rowOff>
    </xdr:from>
    <xdr:ext cx="934368" cy="932540"/>
    <xdr:pic>
      <xdr:nvPicPr>
        <xdr:cNvPr id="6" name="Picture 5" descr="JSP Evo3 Micro Peak Linesman - arksafety.ie">
          <a:extLst>
            <a:ext uri="{FF2B5EF4-FFF2-40B4-BE49-F238E27FC236}">
              <a16:creationId xmlns:a16="http://schemas.microsoft.com/office/drawing/2014/main" id="{FFB0D4BC-CD47-4D84-A2EB-76AAB68EA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8745" y="2221065"/>
          <a:ext cx="934368" cy="932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75168</xdr:colOff>
      <xdr:row>13</xdr:row>
      <xdr:rowOff>41100</xdr:rowOff>
    </xdr:from>
    <xdr:ext cx="965128" cy="900797"/>
    <xdr:pic>
      <xdr:nvPicPr>
        <xdr:cNvPr id="7" name="Picture 6" descr="Safety Jogger Unisex-Adult Ultima Safety Shoes - EN safety certified ...">
          <a:extLst>
            <a:ext uri="{FF2B5EF4-FFF2-40B4-BE49-F238E27FC236}">
              <a16:creationId xmlns:a16="http://schemas.microsoft.com/office/drawing/2014/main" id="{F7DADCBD-4E2A-455F-8B01-466CCD3C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368" y="2418540"/>
          <a:ext cx="965128" cy="9007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89648</xdr:colOff>
      <xdr:row>18</xdr:row>
      <xdr:rowOff>13663</xdr:rowOff>
    </xdr:from>
    <xdr:ext cx="941294" cy="930320"/>
    <xdr:pic>
      <xdr:nvPicPr>
        <xdr:cNvPr id="8" name="Picture 7" descr="Ipswich Embroidery &amp; Workwear - Safety Face Shields">
          <a:extLst>
            <a:ext uri="{FF2B5EF4-FFF2-40B4-BE49-F238E27FC236}">
              <a16:creationId xmlns:a16="http://schemas.microsoft.com/office/drawing/2014/main" id="{8B2E7359-F07C-409B-980B-CC6ADADAB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848" y="3305503"/>
          <a:ext cx="941294" cy="930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22116</xdr:colOff>
      <xdr:row>15</xdr:row>
      <xdr:rowOff>152401</xdr:rowOff>
    </xdr:from>
    <xdr:ext cx="1080543" cy="717176"/>
    <xdr:pic>
      <xdr:nvPicPr>
        <xdr:cNvPr id="9" name="Picture 8" descr="HDE Safety Glasses Clear Lens Protective Eyewear for General Work ...">
          <a:extLst>
            <a:ext uri="{FF2B5EF4-FFF2-40B4-BE49-F238E27FC236}">
              <a16:creationId xmlns:a16="http://schemas.microsoft.com/office/drawing/2014/main" id="{DEC26E10-4D3B-488C-8C27-08BB33EF95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485" b="11374"/>
        <a:stretch/>
      </xdr:blipFill>
      <xdr:spPr bwMode="auto">
        <a:xfrm>
          <a:off x="1241316" y="2895601"/>
          <a:ext cx="1080543" cy="717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17931</xdr:colOff>
      <xdr:row>16</xdr:row>
      <xdr:rowOff>224117</xdr:rowOff>
    </xdr:from>
    <xdr:ext cx="1093692" cy="465711"/>
    <xdr:pic>
      <xdr:nvPicPr>
        <xdr:cNvPr id="10" name="Picture 9" descr="Sunglasses U V P Rotection Sunglasses Fit Over Glasses Sunglasses ...">
          <a:extLst>
            <a:ext uri="{FF2B5EF4-FFF2-40B4-BE49-F238E27FC236}">
              <a16:creationId xmlns:a16="http://schemas.microsoft.com/office/drawing/2014/main" id="{7B499C1E-1AFB-4F8C-8B7D-7E7A0AC925C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554" b="30958"/>
        <a:stretch/>
      </xdr:blipFill>
      <xdr:spPr bwMode="auto">
        <a:xfrm>
          <a:off x="1237131" y="3112097"/>
          <a:ext cx="1093692" cy="4657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152399</xdr:colOff>
      <xdr:row>14</xdr:row>
      <xdr:rowOff>26894</xdr:rowOff>
    </xdr:from>
    <xdr:ext cx="923270" cy="914400"/>
    <xdr:pic>
      <xdr:nvPicPr>
        <xdr:cNvPr id="11" name="Picture 10" descr="Gloves-Hand-Protection – Frham Safety Products, Inc.">
          <a:extLst>
            <a:ext uri="{FF2B5EF4-FFF2-40B4-BE49-F238E27FC236}">
              <a16:creationId xmlns:a16="http://schemas.microsoft.com/office/drawing/2014/main" id="{1A873D72-1DAE-424F-8431-C8F1F70AF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599" y="2587214"/>
          <a:ext cx="92327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71721</xdr:colOff>
      <xdr:row>21</xdr:row>
      <xdr:rowOff>35860</xdr:rowOff>
    </xdr:from>
    <xdr:ext cx="999029" cy="914400"/>
    <xdr:pic>
      <xdr:nvPicPr>
        <xdr:cNvPr id="12" name="Picture 11" descr="5 Best Auto Darkening Welding Helmet - Ensure safety of your eyes ...">
          <a:extLst>
            <a:ext uri="{FF2B5EF4-FFF2-40B4-BE49-F238E27FC236}">
              <a16:creationId xmlns:a16="http://schemas.microsoft.com/office/drawing/2014/main" id="{599017F8-5ACF-4274-B540-E7BD667A0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0921" y="3876340"/>
          <a:ext cx="999029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134659</xdr:colOff>
      <xdr:row>23</xdr:row>
      <xdr:rowOff>179107</xdr:rowOff>
    </xdr:from>
    <xdr:ext cx="914025" cy="645457"/>
    <xdr:pic>
      <xdr:nvPicPr>
        <xdr:cNvPr id="13" name="Picture 12" descr="VAPHY Oxygen and Acetylene Flashback Arrestors Set Regulator End 9/16 ...">
          <a:extLst>
            <a:ext uri="{FF2B5EF4-FFF2-40B4-BE49-F238E27FC236}">
              <a16:creationId xmlns:a16="http://schemas.microsoft.com/office/drawing/2014/main" id="{ED9C6792-63E4-4A11-BEA9-BD43EE047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488143" y="4251063"/>
          <a:ext cx="645457" cy="91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116540</xdr:colOff>
      <xdr:row>22</xdr:row>
      <xdr:rowOff>44824</xdr:rowOff>
    </xdr:from>
    <xdr:ext cx="916051" cy="914400"/>
    <xdr:pic>
      <xdr:nvPicPr>
        <xdr:cNvPr id="14" name="Picture 13" descr="SAFETY HARNESS FULL BODY 140KG (MAX) - DOUBLE HARNESS WITH SCAFFOLDING ...">
          <a:extLst>
            <a:ext uri="{FF2B5EF4-FFF2-40B4-BE49-F238E27FC236}">
              <a16:creationId xmlns:a16="http://schemas.microsoft.com/office/drawing/2014/main" id="{662C7B51-8EA1-4E04-89CB-AA8F8B6DD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5740" y="4068184"/>
          <a:ext cx="916051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98616</xdr:colOff>
      <xdr:row>25</xdr:row>
      <xdr:rowOff>44825</xdr:rowOff>
    </xdr:from>
    <xdr:ext cx="917858" cy="914400"/>
    <xdr:pic>
      <xdr:nvPicPr>
        <xdr:cNvPr id="15" name="Picture 14" descr="Famatel 16A 3 Pin 240V IP67 Horizontal Switched Interlocked Socket ...">
          <a:extLst>
            <a:ext uri="{FF2B5EF4-FFF2-40B4-BE49-F238E27FC236}">
              <a16:creationId xmlns:a16="http://schemas.microsoft.com/office/drawing/2014/main" id="{EAFB813F-2000-48CA-9CB4-5556BB2F3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7816" y="4616825"/>
          <a:ext cx="917858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7823</xdr:colOff>
      <xdr:row>24</xdr:row>
      <xdr:rowOff>71719</xdr:rowOff>
    </xdr:from>
    <xdr:ext cx="1103165" cy="860612"/>
    <xdr:pic>
      <xdr:nvPicPr>
        <xdr:cNvPr id="16" name="Picture 15" descr="220 V Single Phase 32 A 3 Pin Mennekes Industrial Plug at Rs 1055 in ...">
          <a:extLst>
            <a:ext uri="{FF2B5EF4-FFF2-40B4-BE49-F238E27FC236}">
              <a16:creationId xmlns:a16="http://schemas.microsoft.com/office/drawing/2014/main" id="{FC0EE232-33FA-427C-8B69-69977B785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7023" y="4460839"/>
          <a:ext cx="1103165" cy="860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71718</xdr:colOff>
      <xdr:row>29</xdr:row>
      <xdr:rowOff>18535</xdr:rowOff>
    </xdr:from>
    <xdr:ext cx="959223" cy="963100"/>
    <xdr:pic>
      <xdr:nvPicPr>
        <xdr:cNvPr id="17" name="Picture 16" descr="Medical Gas Cylinder Trolley – 12 Oxygen D/E H930 x W490 x D720mm ...">
          <a:extLst>
            <a:ext uri="{FF2B5EF4-FFF2-40B4-BE49-F238E27FC236}">
              <a16:creationId xmlns:a16="http://schemas.microsoft.com/office/drawing/2014/main" id="{A9299017-2F6F-450A-B51E-0A4BB0142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0918" y="5322055"/>
          <a:ext cx="959223" cy="963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155516</xdr:colOff>
      <xdr:row>30</xdr:row>
      <xdr:rowOff>11881</xdr:rowOff>
    </xdr:from>
    <xdr:ext cx="851648" cy="982025"/>
    <xdr:pic>
      <xdr:nvPicPr>
        <xdr:cNvPr id="18" name="Picture 17">
          <a:extLst>
            <a:ext uri="{FF2B5EF4-FFF2-40B4-BE49-F238E27FC236}">
              <a16:creationId xmlns:a16="http://schemas.microsoft.com/office/drawing/2014/main" id="{80E10A5A-3AF9-446F-9B20-D8DEDD67CE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/>
        <a:srcRect l="14754" t="7665" r="10655" b="6168"/>
        <a:stretch/>
      </xdr:blipFill>
      <xdr:spPr bwMode="auto">
        <a:xfrm>
          <a:off x="1374716" y="5498281"/>
          <a:ext cx="851648" cy="982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186914</xdr:colOff>
      <xdr:row>31</xdr:row>
      <xdr:rowOff>11655</xdr:rowOff>
    </xdr:from>
    <xdr:ext cx="788893" cy="940846"/>
    <xdr:pic>
      <xdr:nvPicPr>
        <xdr:cNvPr id="19" name="Picture 18" descr="Types of Fire Extinguishers and How to Use Them">
          <a:extLst>
            <a:ext uri="{FF2B5EF4-FFF2-40B4-BE49-F238E27FC236}">
              <a16:creationId xmlns:a16="http://schemas.microsoft.com/office/drawing/2014/main" id="{E6DABB62-0E06-402E-BB64-A81C9D5C1F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089" t="10153" b="9440"/>
        <a:stretch/>
      </xdr:blipFill>
      <xdr:spPr bwMode="auto">
        <a:xfrm>
          <a:off x="1406114" y="5680935"/>
          <a:ext cx="788893" cy="9408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71718</xdr:colOff>
      <xdr:row>32</xdr:row>
      <xdr:rowOff>68581</xdr:rowOff>
    </xdr:from>
    <xdr:ext cx="991542" cy="868680"/>
    <xdr:pic>
      <xdr:nvPicPr>
        <xdr:cNvPr id="20" name="Picture 19" descr="Fire Blanket Malaysia : A Must-Have Fire Safety Product">
          <a:extLst>
            <a:ext uri="{FF2B5EF4-FFF2-40B4-BE49-F238E27FC236}">
              <a16:creationId xmlns:a16="http://schemas.microsoft.com/office/drawing/2014/main" id="{AD6DE166-402E-4B50-85E6-0EE83AB75C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945" b="5082"/>
        <a:stretch/>
      </xdr:blipFill>
      <xdr:spPr bwMode="auto">
        <a:xfrm>
          <a:off x="1290918" y="5920741"/>
          <a:ext cx="991542" cy="868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99060</xdr:colOff>
      <xdr:row>33</xdr:row>
      <xdr:rowOff>30480</xdr:rowOff>
    </xdr:from>
    <xdr:ext cx="944880" cy="944880"/>
    <xdr:pic>
      <xdr:nvPicPr>
        <xdr:cNvPr id="21" name="Picture 20">
          <a:extLst>
            <a:ext uri="{FF2B5EF4-FFF2-40B4-BE49-F238E27FC236}">
              <a16:creationId xmlns:a16="http://schemas.microsoft.com/office/drawing/2014/main" id="{B752F707-41A3-4A51-A9DC-991D3E7A1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/>
      </xdr:blipFill>
      <xdr:spPr bwMode="auto">
        <a:xfrm>
          <a:off x="1318260" y="6065520"/>
          <a:ext cx="9448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28722</xdr:colOff>
      <xdr:row>34</xdr:row>
      <xdr:rowOff>23447</xdr:rowOff>
    </xdr:from>
    <xdr:ext cx="1039565" cy="937846"/>
    <xdr:pic>
      <xdr:nvPicPr>
        <xdr:cNvPr id="22" name="Picture 21" descr="Loadit 300kg Foldable Trolley | ISO &amp; TUV GS Certified | 5 Year ...">
          <a:extLst>
            <a:ext uri="{FF2B5EF4-FFF2-40B4-BE49-F238E27FC236}">
              <a16:creationId xmlns:a16="http://schemas.microsoft.com/office/drawing/2014/main" id="{B9C5D322-771C-4DA3-AA81-19EC2DD3A9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54" r="7628" b="8012"/>
        <a:stretch/>
      </xdr:blipFill>
      <xdr:spPr bwMode="auto">
        <a:xfrm>
          <a:off x="1247922" y="6241367"/>
          <a:ext cx="1039565" cy="9378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112645</xdr:colOff>
      <xdr:row>35</xdr:row>
      <xdr:rowOff>33131</xdr:rowOff>
    </xdr:from>
    <xdr:ext cx="924668" cy="927652"/>
    <xdr:pic>
      <xdr:nvPicPr>
        <xdr:cNvPr id="23" name="Picture 22" descr="Safety Products Inc - 28&quot; Orange Traffic Cones">
          <a:extLst>
            <a:ext uri="{FF2B5EF4-FFF2-40B4-BE49-F238E27FC236}">
              <a16:creationId xmlns:a16="http://schemas.microsoft.com/office/drawing/2014/main" id="{7C079249-052B-4879-A124-EC7157117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1845" y="6433931"/>
          <a:ext cx="924668" cy="9276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132521</xdr:colOff>
      <xdr:row>17</xdr:row>
      <xdr:rowOff>26504</xdr:rowOff>
    </xdr:from>
    <xdr:ext cx="911262" cy="914400"/>
    <xdr:pic>
      <xdr:nvPicPr>
        <xdr:cNvPr id="24" name="Picture 23" descr="25 Pairs Corded Ear Plugs Soft Silicone Reusable Earplugs Noise ...">
          <a:extLst>
            <a:ext uri="{FF2B5EF4-FFF2-40B4-BE49-F238E27FC236}">
              <a16:creationId xmlns:a16="http://schemas.microsoft.com/office/drawing/2014/main" id="{2E81A0F5-8849-4772-87AC-1BB9033A0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1721" y="3135464"/>
          <a:ext cx="911262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19879</xdr:colOff>
      <xdr:row>40</xdr:row>
      <xdr:rowOff>225287</xdr:rowOff>
    </xdr:from>
    <xdr:ext cx="1073807" cy="566021"/>
    <xdr:pic>
      <xdr:nvPicPr>
        <xdr:cNvPr id="25" name="Picture 24" descr="Steel Scaffold Plank Used in Steel Scaffolding for Construction Purpose">
          <a:extLst>
            <a:ext uri="{FF2B5EF4-FFF2-40B4-BE49-F238E27FC236}">
              <a16:creationId xmlns:a16="http://schemas.microsoft.com/office/drawing/2014/main" id="{0F23FC5D-F262-4949-9AC1-C380EEFEB6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211" b="16722"/>
        <a:stretch/>
      </xdr:blipFill>
      <xdr:spPr bwMode="auto">
        <a:xfrm>
          <a:off x="1239079" y="7494767"/>
          <a:ext cx="1073807" cy="5660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24234</xdr:colOff>
      <xdr:row>39</xdr:row>
      <xdr:rowOff>53008</xdr:rowOff>
    </xdr:from>
    <xdr:ext cx="1090476" cy="894521"/>
    <xdr:pic>
      <xdr:nvPicPr>
        <xdr:cNvPr id="26" name="Picture 25" descr="Swivel Scaffolding Clamps British Type 2 pcs Brand New Prisms ...">
          <a:extLst>
            <a:ext uri="{FF2B5EF4-FFF2-40B4-BE49-F238E27FC236}">
              <a16:creationId xmlns:a16="http://schemas.microsoft.com/office/drawing/2014/main" id="{AFF1745F-1413-40DA-AFC0-4EE3201E3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434" y="7185328"/>
          <a:ext cx="1090476" cy="894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53007</xdr:colOff>
      <xdr:row>38</xdr:row>
      <xdr:rowOff>79517</xdr:rowOff>
    </xdr:from>
    <xdr:ext cx="1040297" cy="854761"/>
    <xdr:pic>
      <xdr:nvPicPr>
        <xdr:cNvPr id="27" name="Picture 26" descr="Scaffolding Pipe - Hunan Great Steel Pipe Co., Ltd.">
          <a:extLst>
            <a:ext uri="{FF2B5EF4-FFF2-40B4-BE49-F238E27FC236}">
              <a16:creationId xmlns:a16="http://schemas.microsoft.com/office/drawing/2014/main" id="{B9E8BF20-EA4E-42CF-9307-EA828D7209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8116"/>
        <a:stretch/>
      </xdr:blipFill>
      <xdr:spPr bwMode="auto">
        <a:xfrm>
          <a:off x="1272207" y="7028957"/>
          <a:ext cx="1040297" cy="8547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86141</xdr:colOff>
      <xdr:row>36</xdr:row>
      <xdr:rowOff>19880</xdr:rowOff>
    </xdr:from>
    <xdr:ext cx="925504" cy="927650"/>
    <xdr:pic>
      <xdr:nvPicPr>
        <xdr:cNvPr id="28" name="Picture 27" descr="Pin on Scaffolding caster wheels">
          <a:extLst>
            <a:ext uri="{FF2B5EF4-FFF2-40B4-BE49-F238E27FC236}">
              <a16:creationId xmlns:a16="http://schemas.microsoft.com/office/drawing/2014/main" id="{E4C89212-E9CB-4228-ACA7-2DD1621D0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341" y="6603560"/>
          <a:ext cx="925504" cy="92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6626</xdr:colOff>
      <xdr:row>37</xdr:row>
      <xdr:rowOff>53009</xdr:rowOff>
    </xdr:from>
    <xdr:ext cx="1095689" cy="861391"/>
    <xdr:pic>
      <xdr:nvPicPr>
        <xdr:cNvPr id="29" name="Picture 28" descr="Frame Scaffolding Set – eSmart Bangladesh">
          <a:extLst>
            <a:ext uri="{FF2B5EF4-FFF2-40B4-BE49-F238E27FC236}">
              <a16:creationId xmlns:a16="http://schemas.microsoft.com/office/drawing/2014/main" id="{C7235D9A-AA23-4A1E-8EEA-32FA5B9647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910" b="9736"/>
        <a:stretch/>
      </xdr:blipFill>
      <xdr:spPr bwMode="auto">
        <a:xfrm>
          <a:off x="1225826" y="6819569"/>
          <a:ext cx="1095689" cy="8613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119269</xdr:colOff>
      <xdr:row>41</xdr:row>
      <xdr:rowOff>46381</xdr:rowOff>
    </xdr:from>
    <xdr:ext cx="905450" cy="934279"/>
    <xdr:pic>
      <xdr:nvPicPr>
        <xdr:cNvPr id="30" name="Picture 29" descr="Oxygen meter, acetylene meter, nitrogen propane meter, argon gas meter ...">
          <a:extLst>
            <a:ext uri="{FF2B5EF4-FFF2-40B4-BE49-F238E27FC236}">
              <a16:creationId xmlns:a16="http://schemas.microsoft.com/office/drawing/2014/main" id="{75A01AC7-4FA6-4186-88DA-AE1BC735FD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22" t="24111" r="13014"/>
        <a:stretch/>
      </xdr:blipFill>
      <xdr:spPr bwMode="auto">
        <a:xfrm>
          <a:off x="1338469" y="7544461"/>
          <a:ext cx="905450" cy="9342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92763</xdr:colOff>
      <xdr:row>28</xdr:row>
      <xdr:rowOff>53007</xdr:rowOff>
    </xdr:from>
    <xdr:ext cx="1007165" cy="901149"/>
    <xdr:pic>
      <xdr:nvPicPr>
        <xdr:cNvPr id="31" name="Picture 30" descr="3 Core Electric Power Cable at Rs 72/meter | 3 Phase Cable in Bengaluru ...">
          <a:extLst>
            <a:ext uri="{FF2B5EF4-FFF2-40B4-BE49-F238E27FC236}">
              <a16:creationId xmlns:a16="http://schemas.microsoft.com/office/drawing/2014/main" id="{6872D7B2-2B45-422A-B5D3-6046C68F9E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0811"/>
        <a:stretch/>
      </xdr:blipFill>
      <xdr:spPr bwMode="auto">
        <a:xfrm>
          <a:off x="1311963" y="5173647"/>
          <a:ext cx="1007165" cy="90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106018</xdr:colOff>
      <xdr:row>42</xdr:row>
      <xdr:rowOff>26504</xdr:rowOff>
    </xdr:from>
    <xdr:ext cx="927652" cy="930622"/>
    <xdr:pic>
      <xdr:nvPicPr>
        <xdr:cNvPr id="32" name="Picture 31" descr="Vertical Drilling Machine at Rs 17000/piece | Vertical Drilling Machine ...">
          <a:extLst>
            <a:ext uri="{FF2B5EF4-FFF2-40B4-BE49-F238E27FC236}">
              <a16:creationId xmlns:a16="http://schemas.microsoft.com/office/drawing/2014/main" id="{A4F29200-9A08-4076-BDE8-4F614CE6B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218" y="7707464"/>
          <a:ext cx="927652" cy="9306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227356</xdr:colOff>
      <xdr:row>26</xdr:row>
      <xdr:rowOff>38100</xdr:rowOff>
    </xdr:from>
    <xdr:ext cx="734008" cy="914400"/>
    <xdr:pic>
      <xdr:nvPicPr>
        <xdr:cNvPr id="33" name="Picture 32">
          <a:extLst>
            <a:ext uri="{FF2B5EF4-FFF2-40B4-BE49-F238E27FC236}">
              <a16:creationId xmlns:a16="http://schemas.microsoft.com/office/drawing/2014/main" id="{A13B87F3-34F6-4776-AA94-E6B5C9078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446556" y="4792980"/>
          <a:ext cx="734008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53340</xdr:colOff>
      <xdr:row>43</xdr:row>
      <xdr:rowOff>99060</xdr:rowOff>
    </xdr:from>
    <xdr:ext cx="1055914" cy="739140"/>
    <xdr:pic>
      <xdr:nvPicPr>
        <xdr:cNvPr id="34" name="Picture 33" descr="Metal Trunk | ubicaciondepersonas.cdmx.gob.mx">
          <a:extLst>
            <a:ext uri="{FF2B5EF4-FFF2-40B4-BE49-F238E27FC236}">
              <a16:creationId xmlns:a16="http://schemas.microsoft.com/office/drawing/2014/main" id="{7D1DA509-038C-4FF0-A114-2FFD22250C9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00" b="12500"/>
        <a:stretch/>
      </xdr:blipFill>
      <xdr:spPr bwMode="auto">
        <a:xfrm>
          <a:off x="1272540" y="7962900"/>
          <a:ext cx="1055914" cy="739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243840</xdr:colOff>
      <xdr:row>27</xdr:row>
      <xdr:rowOff>60960</xdr:rowOff>
    </xdr:from>
    <xdr:ext cx="662940" cy="876300"/>
    <xdr:pic>
      <xdr:nvPicPr>
        <xdr:cNvPr id="35" name="Picture 34">
          <a:extLst>
            <a:ext uri="{FF2B5EF4-FFF2-40B4-BE49-F238E27FC236}">
              <a16:creationId xmlns:a16="http://schemas.microsoft.com/office/drawing/2014/main" id="{BE06E1B1-8FE6-4161-9371-A37B93AE65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334" t="40083" r="35666" b="31167"/>
        <a:stretch/>
      </xdr:blipFill>
      <xdr:spPr bwMode="auto">
        <a:xfrm>
          <a:off x="1463040" y="4998720"/>
          <a:ext cx="66294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EF78F-C352-4FB4-8C3C-2703F4BEE43C}">
  <sheetPr>
    <tabColor theme="7"/>
    <pageSetUpPr fitToPage="1"/>
  </sheetPr>
  <dimension ref="B1:GF40"/>
  <sheetViews>
    <sheetView showGridLines="0" zoomScale="85" zoomScaleNormal="85" zoomScaleSheetLayoutView="80" workbookViewId="0">
      <pane ySplit="6" topLeftCell="A19" activePane="bottomLeft" state="frozen"/>
      <selection activeCell="D1" sqref="D1"/>
      <selection pane="bottomLeft" activeCell="B34" sqref="B34"/>
    </sheetView>
  </sheetViews>
  <sheetFormatPr defaultColWidth="2.75" defaultRowHeight="17.25" x14ac:dyDescent="0.3"/>
  <cols>
    <col min="1" max="1" width="2.625" customWidth="1"/>
    <col min="2" max="2" width="59.375" style="2" customWidth="1"/>
    <col min="3" max="3" width="11.875" style="1" bestFit="1" customWidth="1"/>
    <col min="4" max="4" width="11.375" style="1" customWidth="1"/>
    <col min="5" max="6" width="11.375" style="1" hidden="1" customWidth="1"/>
    <col min="7" max="7" width="11.375" style="3" hidden="1" customWidth="1"/>
    <col min="8" max="8" width="3.125" style="3" customWidth="1"/>
    <col min="9" max="28" width="3.875" style="1" bestFit="1" customWidth="1"/>
    <col min="29" max="38" width="3.875" bestFit="1" customWidth="1"/>
  </cols>
  <sheetData>
    <row r="1" spans="2:188" ht="54.75" thickBot="1" x14ac:dyDescent="0.85">
      <c r="B1" s="9" t="s">
        <v>197</v>
      </c>
      <c r="C1" s="8"/>
      <c r="D1" s="8"/>
      <c r="E1" s="8"/>
      <c r="F1" s="8"/>
      <c r="G1" s="8"/>
      <c r="H1" s="8"/>
    </row>
    <row r="2" spans="2:188" ht="16.5" thickTop="1" x14ac:dyDescent="0.25">
      <c r="B2" s="10" t="s">
        <v>11</v>
      </c>
      <c r="C2" s="10"/>
      <c r="D2" s="10"/>
      <c r="E2" s="10"/>
      <c r="F2" s="10"/>
      <c r="G2" s="4" t="s">
        <v>3</v>
      </c>
      <c r="H2" s="4"/>
      <c r="I2" s="19">
        <v>1</v>
      </c>
      <c r="K2" s="20"/>
      <c r="L2" s="89" t="s">
        <v>10</v>
      </c>
      <c r="M2" s="90"/>
      <c r="N2" s="90"/>
      <c r="O2" s="90"/>
      <c r="P2" s="91"/>
      <c r="Q2" s="21"/>
      <c r="R2" s="89" t="s">
        <v>9</v>
      </c>
      <c r="S2" s="92"/>
      <c r="T2" s="92"/>
      <c r="U2" s="91"/>
      <c r="V2" s="22"/>
      <c r="W2" s="93" t="s">
        <v>1</v>
      </c>
      <c r="X2" s="94"/>
      <c r="Y2" s="94"/>
      <c r="Z2" s="95"/>
      <c r="AA2" s="23"/>
      <c r="AB2" s="93" t="s">
        <v>2</v>
      </c>
      <c r="AC2" s="94"/>
      <c r="AD2" s="94"/>
      <c r="AE2" s="94"/>
      <c r="AF2" s="94"/>
      <c r="AG2" s="94"/>
    </row>
    <row r="3" spans="2:188" s="7" customFormat="1" ht="15" x14ac:dyDescent="0.25">
      <c r="B3" s="87" t="s">
        <v>0</v>
      </c>
      <c r="C3" s="85" t="s">
        <v>4</v>
      </c>
      <c r="D3" s="85" t="s">
        <v>5</v>
      </c>
      <c r="E3" s="85" t="s">
        <v>6</v>
      </c>
      <c r="F3" s="85" t="s">
        <v>7</v>
      </c>
      <c r="G3" s="84" t="s">
        <v>8</v>
      </c>
      <c r="H3" s="15"/>
      <c r="I3" s="96" t="s">
        <v>12</v>
      </c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</row>
    <row r="4" spans="2:188" ht="39" x14ac:dyDescent="0.25">
      <c r="B4" s="87"/>
      <c r="C4" s="85"/>
      <c r="D4" s="85"/>
      <c r="E4" s="85"/>
      <c r="F4" s="85"/>
      <c r="G4" s="85"/>
      <c r="H4" s="14" t="s">
        <v>20</v>
      </c>
      <c r="I4" s="14">
        <v>45466</v>
      </c>
      <c r="J4" s="14">
        <v>45467</v>
      </c>
      <c r="K4" s="14">
        <v>45468</v>
      </c>
      <c r="L4" s="14">
        <v>45469</v>
      </c>
      <c r="M4" s="14">
        <v>45470</v>
      </c>
      <c r="N4" s="14">
        <v>45471</v>
      </c>
      <c r="O4" s="14">
        <v>45472</v>
      </c>
      <c r="P4" s="14">
        <v>45473</v>
      </c>
      <c r="Q4" s="14">
        <v>45474</v>
      </c>
      <c r="R4" s="14">
        <v>45475</v>
      </c>
      <c r="S4" s="14">
        <v>45476</v>
      </c>
      <c r="T4" s="14">
        <v>45477</v>
      </c>
      <c r="U4" s="14">
        <v>45478</v>
      </c>
      <c r="V4" s="14">
        <v>45479</v>
      </c>
      <c r="W4" s="14">
        <v>45480</v>
      </c>
      <c r="X4" s="14">
        <v>45481</v>
      </c>
      <c r="Y4" s="14">
        <v>45482</v>
      </c>
      <c r="Z4" s="14">
        <v>45483</v>
      </c>
      <c r="AA4" s="14">
        <v>45484</v>
      </c>
      <c r="AB4" s="14">
        <v>45485</v>
      </c>
      <c r="AC4" s="14">
        <v>45486</v>
      </c>
      <c r="AD4" s="14">
        <v>45487</v>
      </c>
      <c r="AE4" s="14">
        <v>45488</v>
      </c>
      <c r="AF4" s="14">
        <v>45489</v>
      </c>
      <c r="AG4" s="14">
        <v>45490</v>
      </c>
      <c r="AH4" s="14">
        <v>45491</v>
      </c>
      <c r="AI4" s="14">
        <v>45492</v>
      </c>
      <c r="AJ4" s="14">
        <v>45493</v>
      </c>
      <c r="AK4" s="14">
        <v>45494</v>
      </c>
      <c r="AL4" s="14">
        <v>45495</v>
      </c>
      <c r="AM4" s="14">
        <v>45496</v>
      </c>
      <c r="AN4" s="14">
        <v>45497</v>
      </c>
      <c r="AO4" s="14">
        <v>45498</v>
      </c>
      <c r="AP4" s="14">
        <v>45499</v>
      </c>
      <c r="AQ4" s="14">
        <v>45500</v>
      </c>
      <c r="AR4" s="14">
        <v>45501</v>
      </c>
      <c r="AS4" s="14">
        <v>45502</v>
      </c>
      <c r="AT4" s="14">
        <v>45503</v>
      </c>
      <c r="AU4" s="14">
        <v>45504</v>
      </c>
      <c r="AV4" s="14">
        <v>45505</v>
      </c>
      <c r="AW4" s="14">
        <v>45506</v>
      </c>
      <c r="AX4" s="14">
        <v>45507</v>
      </c>
      <c r="AY4" s="14">
        <v>45508</v>
      </c>
      <c r="AZ4" s="14">
        <v>45509</v>
      </c>
      <c r="BA4" s="14">
        <v>45510</v>
      </c>
      <c r="BB4" s="14">
        <v>45511</v>
      </c>
      <c r="BC4" s="14">
        <v>45512</v>
      </c>
      <c r="BD4" s="14">
        <v>45513</v>
      </c>
      <c r="BE4" s="14">
        <v>45514</v>
      </c>
      <c r="BF4" s="14">
        <v>45515</v>
      </c>
      <c r="BG4" s="14">
        <v>45516</v>
      </c>
      <c r="BH4" s="14">
        <v>45517</v>
      </c>
      <c r="BI4" s="14">
        <v>45518</v>
      </c>
      <c r="BJ4" s="14">
        <v>45519</v>
      </c>
      <c r="BK4" s="14">
        <v>45520</v>
      </c>
      <c r="BL4" s="14">
        <v>45521</v>
      </c>
      <c r="BM4" s="14">
        <v>45522</v>
      </c>
      <c r="BN4" s="14">
        <v>45523</v>
      </c>
      <c r="BO4" s="14">
        <v>45524</v>
      </c>
      <c r="BP4" s="14">
        <v>45525</v>
      </c>
      <c r="BQ4" s="14">
        <v>45526</v>
      </c>
      <c r="BR4" s="14">
        <v>45527</v>
      </c>
      <c r="BS4" s="14">
        <v>45528</v>
      </c>
      <c r="BT4" s="14">
        <v>45529</v>
      </c>
      <c r="BU4" s="14">
        <v>45530</v>
      </c>
      <c r="BV4" s="14">
        <v>45531</v>
      </c>
      <c r="BW4" s="14">
        <v>45532</v>
      </c>
      <c r="BX4" s="14">
        <v>45533</v>
      </c>
      <c r="BY4" s="14">
        <v>45534</v>
      </c>
      <c r="BZ4" s="14">
        <v>45535</v>
      </c>
      <c r="CA4" s="14">
        <v>45536</v>
      </c>
      <c r="CB4" s="14">
        <v>45537</v>
      </c>
      <c r="CC4" s="14">
        <v>45538</v>
      </c>
      <c r="CD4" s="14">
        <v>45539</v>
      </c>
      <c r="CE4" s="14">
        <v>45540</v>
      </c>
      <c r="CF4" s="14">
        <v>45541</v>
      </c>
      <c r="CG4" s="14">
        <v>45542</v>
      </c>
      <c r="CH4" s="14">
        <v>45543</v>
      </c>
      <c r="CI4" s="14">
        <v>45544</v>
      </c>
      <c r="CJ4" s="14">
        <v>45545</v>
      </c>
      <c r="CK4" s="14">
        <v>45546</v>
      </c>
      <c r="CL4" s="14">
        <v>45547</v>
      </c>
      <c r="CM4" s="14">
        <v>45548</v>
      </c>
      <c r="CN4" s="14">
        <v>45549</v>
      </c>
      <c r="CO4" s="14">
        <v>45550</v>
      </c>
      <c r="CP4" s="14">
        <v>45551</v>
      </c>
      <c r="CQ4" s="14">
        <v>45552</v>
      </c>
      <c r="CR4" s="14">
        <v>45553</v>
      </c>
      <c r="CS4" s="14">
        <v>45554</v>
      </c>
      <c r="CT4" s="14">
        <v>45555</v>
      </c>
      <c r="CU4" s="14">
        <v>45556</v>
      </c>
      <c r="CV4" s="14">
        <v>45557</v>
      </c>
      <c r="CW4" s="14">
        <v>45558</v>
      </c>
      <c r="CX4" s="14">
        <v>45559</v>
      </c>
      <c r="CY4" s="14">
        <v>45560</v>
      </c>
      <c r="CZ4" s="14">
        <v>45561</v>
      </c>
      <c r="DA4" s="14">
        <v>45562</v>
      </c>
      <c r="DB4" s="14">
        <v>45563</v>
      </c>
      <c r="DC4" s="14">
        <v>45564</v>
      </c>
      <c r="DD4" s="14">
        <v>45565</v>
      </c>
      <c r="DE4" s="14">
        <v>45566</v>
      </c>
      <c r="DF4" s="14">
        <v>45567</v>
      </c>
      <c r="DG4" s="14">
        <v>45568</v>
      </c>
      <c r="DH4" s="14">
        <v>45569</v>
      </c>
      <c r="DI4" s="14">
        <v>45570</v>
      </c>
      <c r="DJ4" s="14">
        <v>45571</v>
      </c>
      <c r="DK4" s="14">
        <v>45572</v>
      </c>
      <c r="DL4" s="14">
        <v>45573</v>
      </c>
      <c r="DM4" s="14">
        <v>45574</v>
      </c>
      <c r="DN4" s="14">
        <v>45575</v>
      </c>
      <c r="DO4" s="14">
        <v>45576</v>
      </c>
      <c r="DP4" s="14">
        <v>45577</v>
      </c>
      <c r="DQ4" s="14">
        <v>45578</v>
      </c>
      <c r="DR4" s="14">
        <v>45579</v>
      </c>
      <c r="DS4" s="14">
        <v>45580</v>
      </c>
      <c r="DT4" s="14">
        <v>45581</v>
      </c>
      <c r="DU4" s="14">
        <v>45582</v>
      </c>
      <c r="DV4" s="14">
        <v>45583</v>
      </c>
      <c r="DW4" s="14">
        <v>45584</v>
      </c>
      <c r="DX4" s="14">
        <v>45585</v>
      </c>
      <c r="DY4" s="14">
        <v>45586</v>
      </c>
      <c r="DZ4" s="14">
        <v>45587</v>
      </c>
      <c r="EA4" s="14">
        <v>45588</v>
      </c>
      <c r="EB4" s="14">
        <v>45589</v>
      </c>
      <c r="EC4" s="14">
        <v>45590</v>
      </c>
      <c r="ED4" s="14">
        <v>45591</v>
      </c>
      <c r="EE4" s="14">
        <v>45592</v>
      </c>
      <c r="EF4" s="14">
        <v>45593</v>
      </c>
      <c r="EG4" s="14">
        <v>45594</v>
      </c>
      <c r="EH4" s="14">
        <v>45595</v>
      </c>
      <c r="EI4" s="14">
        <v>45596</v>
      </c>
      <c r="EJ4" s="14">
        <v>45597</v>
      </c>
      <c r="EK4" s="14">
        <v>45598</v>
      </c>
      <c r="EL4" s="14">
        <v>45599</v>
      </c>
      <c r="EM4" s="14">
        <v>45600</v>
      </c>
      <c r="EN4" s="14">
        <v>45601</v>
      </c>
      <c r="EO4" s="14">
        <v>45602</v>
      </c>
      <c r="EP4" s="14">
        <v>45603</v>
      </c>
      <c r="EQ4" s="14">
        <v>45604</v>
      </c>
      <c r="ER4" s="14">
        <v>45605</v>
      </c>
      <c r="ES4" s="14">
        <v>45606</v>
      </c>
      <c r="ET4" s="14">
        <v>45607</v>
      </c>
      <c r="EU4" s="14">
        <v>45608</v>
      </c>
      <c r="EV4" s="14">
        <v>45609</v>
      </c>
      <c r="EW4" s="14">
        <v>45610</v>
      </c>
      <c r="EX4" s="14">
        <v>45611</v>
      </c>
      <c r="EY4" s="14">
        <v>45612</v>
      </c>
      <c r="EZ4" s="14">
        <v>45613</v>
      </c>
      <c r="FA4" s="14">
        <v>45614</v>
      </c>
      <c r="FB4" s="14">
        <v>45615</v>
      </c>
      <c r="FC4" s="14">
        <v>45616</v>
      </c>
      <c r="FD4" s="14">
        <v>45617</v>
      </c>
      <c r="FE4" s="14">
        <v>45618</v>
      </c>
      <c r="FF4" s="14">
        <v>45619</v>
      </c>
      <c r="FG4" s="14">
        <v>45620</v>
      </c>
      <c r="FH4" s="14">
        <v>45621</v>
      </c>
      <c r="FI4" s="14">
        <v>45622</v>
      </c>
      <c r="FJ4" s="14">
        <v>45623</v>
      </c>
      <c r="FK4" s="14">
        <v>45624</v>
      </c>
      <c r="FL4" s="14">
        <v>45625</v>
      </c>
      <c r="FM4" s="14">
        <v>45626</v>
      </c>
      <c r="FN4" s="14">
        <v>45627</v>
      </c>
      <c r="FO4" s="14">
        <v>45628</v>
      </c>
      <c r="FP4" s="14">
        <v>45629</v>
      </c>
      <c r="FQ4" s="14">
        <v>45630</v>
      </c>
      <c r="FR4" s="14">
        <v>45631</v>
      </c>
      <c r="FS4" s="14">
        <v>45632</v>
      </c>
      <c r="FT4" s="14">
        <v>45633</v>
      </c>
      <c r="FU4" s="14">
        <v>45634</v>
      </c>
      <c r="FV4" s="14">
        <v>45635</v>
      </c>
      <c r="FW4" s="14">
        <v>45636</v>
      </c>
      <c r="FX4" s="14">
        <v>45637</v>
      </c>
      <c r="FY4" s="14">
        <v>45638</v>
      </c>
      <c r="FZ4" s="14">
        <v>45639</v>
      </c>
      <c r="GA4" s="14">
        <v>45640</v>
      </c>
      <c r="GB4" s="14">
        <v>45641</v>
      </c>
      <c r="GC4" s="14">
        <v>45642</v>
      </c>
      <c r="GD4" s="14">
        <v>45643</v>
      </c>
      <c r="GE4" s="14">
        <v>45644</v>
      </c>
      <c r="GF4" s="14">
        <v>45645</v>
      </c>
    </row>
    <row r="5" spans="2:188" ht="27.75" x14ac:dyDescent="0.25">
      <c r="B5" s="87"/>
      <c r="C5" s="85"/>
      <c r="D5" s="85"/>
      <c r="E5" s="85"/>
      <c r="F5" s="85"/>
      <c r="G5" s="85"/>
      <c r="H5" s="46"/>
      <c r="I5" s="46" t="str">
        <f>TEXT(I4,"DDD")</f>
        <v>Sun</v>
      </c>
      <c r="J5" s="46" t="str">
        <f t="shared" ref="J5:BU5" si="0">TEXT(J4,"DDD")</f>
        <v>Mon</v>
      </c>
      <c r="K5" s="46" t="str">
        <f t="shared" si="0"/>
        <v>Tue</v>
      </c>
      <c r="L5" s="46" t="str">
        <f t="shared" si="0"/>
        <v>Wed</v>
      </c>
      <c r="M5" s="46" t="str">
        <f t="shared" si="0"/>
        <v>Thu</v>
      </c>
      <c r="N5" s="46" t="str">
        <f t="shared" si="0"/>
        <v>Fri</v>
      </c>
      <c r="O5" s="46" t="str">
        <f t="shared" si="0"/>
        <v>Sat</v>
      </c>
      <c r="P5" s="46" t="str">
        <f t="shared" si="0"/>
        <v>Sun</v>
      </c>
      <c r="Q5" s="46" t="str">
        <f t="shared" si="0"/>
        <v>Mon</v>
      </c>
      <c r="R5" s="46" t="str">
        <f t="shared" si="0"/>
        <v>Tue</v>
      </c>
      <c r="S5" s="46" t="str">
        <f t="shared" si="0"/>
        <v>Wed</v>
      </c>
      <c r="T5" s="46" t="str">
        <f t="shared" si="0"/>
        <v>Thu</v>
      </c>
      <c r="U5" s="46" t="str">
        <f t="shared" si="0"/>
        <v>Fri</v>
      </c>
      <c r="V5" s="46" t="str">
        <f t="shared" si="0"/>
        <v>Sat</v>
      </c>
      <c r="W5" s="46" t="str">
        <f t="shared" si="0"/>
        <v>Sun</v>
      </c>
      <c r="X5" s="46" t="str">
        <f t="shared" si="0"/>
        <v>Mon</v>
      </c>
      <c r="Y5" s="46" t="str">
        <f t="shared" si="0"/>
        <v>Tue</v>
      </c>
      <c r="Z5" s="46" t="str">
        <f t="shared" si="0"/>
        <v>Wed</v>
      </c>
      <c r="AA5" s="46" t="str">
        <f t="shared" si="0"/>
        <v>Thu</v>
      </c>
      <c r="AB5" s="46" t="str">
        <f t="shared" si="0"/>
        <v>Fri</v>
      </c>
      <c r="AC5" s="46" t="str">
        <f t="shared" si="0"/>
        <v>Sat</v>
      </c>
      <c r="AD5" s="46" t="str">
        <f t="shared" si="0"/>
        <v>Sun</v>
      </c>
      <c r="AE5" s="46" t="str">
        <f t="shared" si="0"/>
        <v>Mon</v>
      </c>
      <c r="AF5" s="46" t="str">
        <f t="shared" si="0"/>
        <v>Tue</v>
      </c>
      <c r="AG5" s="46" t="str">
        <f t="shared" si="0"/>
        <v>Wed</v>
      </c>
      <c r="AH5" s="46" t="str">
        <f t="shared" si="0"/>
        <v>Thu</v>
      </c>
      <c r="AI5" s="46" t="str">
        <f t="shared" si="0"/>
        <v>Fri</v>
      </c>
      <c r="AJ5" s="46" t="str">
        <f t="shared" si="0"/>
        <v>Sat</v>
      </c>
      <c r="AK5" s="46" t="str">
        <f t="shared" si="0"/>
        <v>Sun</v>
      </c>
      <c r="AL5" s="46" t="str">
        <f t="shared" si="0"/>
        <v>Mon</v>
      </c>
      <c r="AM5" s="46" t="str">
        <f t="shared" si="0"/>
        <v>Tue</v>
      </c>
      <c r="AN5" s="46" t="str">
        <f t="shared" si="0"/>
        <v>Wed</v>
      </c>
      <c r="AO5" s="46" t="str">
        <f t="shared" si="0"/>
        <v>Thu</v>
      </c>
      <c r="AP5" s="46" t="str">
        <f t="shared" si="0"/>
        <v>Fri</v>
      </c>
      <c r="AQ5" s="46" t="str">
        <f t="shared" si="0"/>
        <v>Sat</v>
      </c>
      <c r="AR5" s="46" t="str">
        <f t="shared" si="0"/>
        <v>Sun</v>
      </c>
      <c r="AS5" s="46" t="str">
        <f t="shared" si="0"/>
        <v>Mon</v>
      </c>
      <c r="AT5" s="46" t="str">
        <f t="shared" si="0"/>
        <v>Tue</v>
      </c>
      <c r="AU5" s="46" t="str">
        <f t="shared" si="0"/>
        <v>Wed</v>
      </c>
      <c r="AV5" s="46" t="str">
        <f t="shared" si="0"/>
        <v>Thu</v>
      </c>
      <c r="AW5" s="46" t="str">
        <f t="shared" si="0"/>
        <v>Fri</v>
      </c>
      <c r="AX5" s="46" t="str">
        <f t="shared" si="0"/>
        <v>Sat</v>
      </c>
      <c r="AY5" s="46" t="str">
        <f t="shared" si="0"/>
        <v>Sun</v>
      </c>
      <c r="AZ5" s="46" t="str">
        <f t="shared" si="0"/>
        <v>Mon</v>
      </c>
      <c r="BA5" s="46" t="str">
        <f t="shared" si="0"/>
        <v>Tue</v>
      </c>
      <c r="BB5" s="46" t="str">
        <f t="shared" si="0"/>
        <v>Wed</v>
      </c>
      <c r="BC5" s="46" t="str">
        <f t="shared" si="0"/>
        <v>Thu</v>
      </c>
      <c r="BD5" s="46" t="str">
        <f t="shared" si="0"/>
        <v>Fri</v>
      </c>
      <c r="BE5" s="46" t="str">
        <f t="shared" si="0"/>
        <v>Sat</v>
      </c>
      <c r="BF5" s="46" t="str">
        <f t="shared" si="0"/>
        <v>Sun</v>
      </c>
      <c r="BG5" s="46" t="str">
        <f t="shared" si="0"/>
        <v>Mon</v>
      </c>
      <c r="BH5" s="46" t="str">
        <f t="shared" si="0"/>
        <v>Tue</v>
      </c>
      <c r="BI5" s="46" t="str">
        <f t="shared" si="0"/>
        <v>Wed</v>
      </c>
      <c r="BJ5" s="46" t="str">
        <f t="shared" si="0"/>
        <v>Thu</v>
      </c>
      <c r="BK5" s="46" t="str">
        <f t="shared" si="0"/>
        <v>Fri</v>
      </c>
      <c r="BL5" s="46" t="str">
        <f t="shared" si="0"/>
        <v>Sat</v>
      </c>
      <c r="BM5" s="46" t="str">
        <f t="shared" si="0"/>
        <v>Sun</v>
      </c>
      <c r="BN5" s="46" t="str">
        <f t="shared" si="0"/>
        <v>Mon</v>
      </c>
      <c r="BO5" s="46" t="str">
        <f t="shared" si="0"/>
        <v>Tue</v>
      </c>
      <c r="BP5" s="46" t="str">
        <f t="shared" si="0"/>
        <v>Wed</v>
      </c>
      <c r="BQ5" s="46" t="str">
        <f t="shared" si="0"/>
        <v>Thu</v>
      </c>
      <c r="BR5" s="46" t="str">
        <f t="shared" si="0"/>
        <v>Fri</v>
      </c>
      <c r="BS5" s="46" t="str">
        <f t="shared" si="0"/>
        <v>Sat</v>
      </c>
      <c r="BT5" s="46" t="str">
        <f t="shared" si="0"/>
        <v>Sun</v>
      </c>
      <c r="BU5" s="46" t="str">
        <f t="shared" si="0"/>
        <v>Mon</v>
      </c>
      <c r="BV5" s="46" t="str">
        <f t="shared" ref="BV5:EG5" si="1">TEXT(BV4,"DDD")</f>
        <v>Tue</v>
      </c>
      <c r="BW5" s="46" t="str">
        <f t="shared" si="1"/>
        <v>Wed</v>
      </c>
      <c r="BX5" s="46" t="str">
        <f t="shared" si="1"/>
        <v>Thu</v>
      </c>
      <c r="BY5" s="46" t="str">
        <f t="shared" si="1"/>
        <v>Fri</v>
      </c>
      <c r="BZ5" s="46" t="str">
        <f t="shared" si="1"/>
        <v>Sat</v>
      </c>
      <c r="CA5" s="46" t="str">
        <f t="shared" si="1"/>
        <v>Sun</v>
      </c>
      <c r="CB5" s="46" t="str">
        <f t="shared" si="1"/>
        <v>Mon</v>
      </c>
      <c r="CC5" s="46" t="str">
        <f t="shared" si="1"/>
        <v>Tue</v>
      </c>
      <c r="CD5" s="46" t="str">
        <f t="shared" si="1"/>
        <v>Wed</v>
      </c>
      <c r="CE5" s="46" t="str">
        <f t="shared" si="1"/>
        <v>Thu</v>
      </c>
      <c r="CF5" s="46" t="str">
        <f t="shared" si="1"/>
        <v>Fri</v>
      </c>
      <c r="CG5" s="46" t="str">
        <f t="shared" si="1"/>
        <v>Sat</v>
      </c>
      <c r="CH5" s="46" t="str">
        <f t="shared" si="1"/>
        <v>Sun</v>
      </c>
      <c r="CI5" s="46" t="str">
        <f t="shared" si="1"/>
        <v>Mon</v>
      </c>
      <c r="CJ5" s="46" t="str">
        <f t="shared" si="1"/>
        <v>Tue</v>
      </c>
      <c r="CK5" s="46" t="str">
        <f t="shared" si="1"/>
        <v>Wed</v>
      </c>
      <c r="CL5" s="46" t="str">
        <f t="shared" si="1"/>
        <v>Thu</v>
      </c>
      <c r="CM5" s="46" t="str">
        <f t="shared" si="1"/>
        <v>Fri</v>
      </c>
      <c r="CN5" s="46" t="str">
        <f t="shared" si="1"/>
        <v>Sat</v>
      </c>
      <c r="CO5" s="46" t="str">
        <f t="shared" si="1"/>
        <v>Sun</v>
      </c>
      <c r="CP5" s="46" t="str">
        <f t="shared" si="1"/>
        <v>Mon</v>
      </c>
      <c r="CQ5" s="46" t="str">
        <f t="shared" si="1"/>
        <v>Tue</v>
      </c>
      <c r="CR5" s="46" t="str">
        <f t="shared" si="1"/>
        <v>Wed</v>
      </c>
      <c r="CS5" s="46" t="str">
        <f t="shared" si="1"/>
        <v>Thu</v>
      </c>
      <c r="CT5" s="46" t="str">
        <f t="shared" si="1"/>
        <v>Fri</v>
      </c>
      <c r="CU5" s="46" t="str">
        <f t="shared" si="1"/>
        <v>Sat</v>
      </c>
      <c r="CV5" s="46" t="str">
        <f t="shared" si="1"/>
        <v>Sun</v>
      </c>
      <c r="CW5" s="46" t="str">
        <f t="shared" si="1"/>
        <v>Mon</v>
      </c>
      <c r="CX5" s="46" t="str">
        <f t="shared" si="1"/>
        <v>Tue</v>
      </c>
      <c r="CY5" s="46" t="str">
        <f t="shared" si="1"/>
        <v>Wed</v>
      </c>
      <c r="CZ5" s="46" t="str">
        <f t="shared" si="1"/>
        <v>Thu</v>
      </c>
      <c r="DA5" s="46" t="str">
        <f t="shared" si="1"/>
        <v>Fri</v>
      </c>
      <c r="DB5" s="46" t="str">
        <f t="shared" si="1"/>
        <v>Sat</v>
      </c>
      <c r="DC5" s="46" t="str">
        <f t="shared" si="1"/>
        <v>Sun</v>
      </c>
      <c r="DD5" s="46" t="str">
        <f t="shared" si="1"/>
        <v>Mon</v>
      </c>
      <c r="DE5" s="46" t="str">
        <f t="shared" si="1"/>
        <v>Tue</v>
      </c>
      <c r="DF5" s="46" t="str">
        <f t="shared" si="1"/>
        <v>Wed</v>
      </c>
      <c r="DG5" s="46" t="str">
        <f t="shared" si="1"/>
        <v>Thu</v>
      </c>
      <c r="DH5" s="46" t="str">
        <f t="shared" si="1"/>
        <v>Fri</v>
      </c>
      <c r="DI5" s="46" t="str">
        <f t="shared" si="1"/>
        <v>Sat</v>
      </c>
      <c r="DJ5" s="46" t="str">
        <f t="shared" si="1"/>
        <v>Sun</v>
      </c>
      <c r="DK5" s="46" t="str">
        <f t="shared" si="1"/>
        <v>Mon</v>
      </c>
      <c r="DL5" s="46" t="str">
        <f t="shared" si="1"/>
        <v>Tue</v>
      </c>
      <c r="DM5" s="46" t="str">
        <f t="shared" si="1"/>
        <v>Wed</v>
      </c>
      <c r="DN5" s="46" t="str">
        <f t="shared" si="1"/>
        <v>Thu</v>
      </c>
      <c r="DO5" s="46" t="str">
        <f t="shared" si="1"/>
        <v>Fri</v>
      </c>
      <c r="DP5" s="46" t="str">
        <f t="shared" si="1"/>
        <v>Sat</v>
      </c>
      <c r="DQ5" s="46" t="str">
        <f t="shared" si="1"/>
        <v>Sun</v>
      </c>
      <c r="DR5" s="46" t="str">
        <f t="shared" si="1"/>
        <v>Mon</v>
      </c>
      <c r="DS5" s="46" t="str">
        <f t="shared" si="1"/>
        <v>Tue</v>
      </c>
      <c r="DT5" s="46" t="str">
        <f t="shared" si="1"/>
        <v>Wed</v>
      </c>
      <c r="DU5" s="46" t="str">
        <f t="shared" si="1"/>
        <v>Thu</v>
      </c>
      <c r="DV5" s="46" t="str">
        <f t="shared" si="1"/>
        <v>Fri</v>
      </c>
      <c r="DW5" s="46" t="str">
        <f t="shared" si="1"/>
        <v>Sat</v>
      </c>
      <c r="DX5" s="46" t="str">
        <f t="shared" si="1"/>
        <v>Sun</v>
      </c>
      <c r="DY5" s="46" t="str">
        <f t="shared" si="1"/>
        <v>Mon</v>
      </c>
      <c r="DZ5" s="46" t="str">
        <f t="shared" si="1"/>
        <v>Tue</v>
      </c>
      <c r="EA5" s="46" t="str">
        <f t="shared" si="1"/>
        <v>Wed</v>
      </c>
      <c r="EB5" s="46" t="str">
        <f t="shared" si="1"/>
        <v>Thu</v>
      </c>
      <c r="EC5" s="46" t="str">
        <f t="shared" si="1"/>
        <v>Fri</v>
      </c>
      <c r="ED5" s="46" t="str">
        <f t="shared" si="1"/>
        <v>Sat</v>
      </c>
      <c r="EE5" s="46" t="str">
        <f t="shared" si="1"/>
        <v>Sun</v>
      </c>
      <c r="EF5" s="46" t="str">
        <f t="shared" si="1"/>
        <v>Mon</v>
      </c>
      <c r="EG5" s="46" t="str">
        <f t="shared" si="1"/>
        <v>Tue</v>
      </c>
      <c r="EH5" s="46" t="str">
        <f t="shared" ref="EH5:GF5" si="2">TEXT(EH4,"DDD")</f>
        <v>Wed</v>
      </c>
      <c r="EI5" s="46" t="str">
        <f t="shared" si="2"/>
        <v>Thu</v>
      </c>
      <c r="EJ5" s="46" t="str">
        <f t="shared" si="2"/>
        <v>Fri</v>
      </c>
      <c r="EK5" s="46" t="str">
        <f t="shared" si="2"/>
        <v>Sat</v>
      </c>
      <c r="EL5" s="46" t="str">
        <f t="shared" si="2"/>
        <v>Sun</v>
      </c>
      <c r="EM5" s="46" t="str">
        <f t="shared" si="2"/>
        <v>Mon</v>
      </c>
      <c r="EN5" s="46" t="str">
        <f t="shared" si="2"/>
        <v>Tue</v>
      </c>
      <c r="EO5" s="46" t="str">
        <f t="shared" si="2"/>
        <v>Wed</v>
      </c>
      <c r="EP5" s="46" t="str">
        <f t="shared" si="2"/>
        <v>Thu</v>
      </c>
      <c r="EQ5" s="46" t="str">
        <f t="shared" si="2"/>
        <v>Fri</v>
      </c>
      <c r="ER5" s="46" t="str">
        <f t="shared" si="2"/>
        <v>Sat</v>
      </c>
      <c r="ES5" s="46" t="str">
        <f t="shared" si="2"/>
        <v>Sun</v>
      </c>
      <c r="ET5" s="46" t="str">
        <f t="shared" si="2"/>
        <v>Mon</v>
      </c>
      <c r="EU5" s="46" t="str">
        <f t="shared" si="2"/>
        <v>Tue</v>
      </c>
      <c r="EV5" s="46" t="str">
        <f t="shared" si="2"/>
        <v>Wed</v>
      </c>
      <c r="EW5" s="46" t="str">
        <f t="shared" si="2"/>
        <v>Thu</v>
      </c>
      <c r="EX5" s="46" t="str">
        <f t="shared" si="2"/>
        <v>Fri</v>
      </c>
      <c r="EY5" s="46" t="str">
        <f t="shared" si="2"/>
        <v>Sat</v>
      </c>
      <c r="EZ5" s="46" t="str">
        <f t="shared" si="2"/>
        <v>Sun</v>
      </c>
      <c r="FA5" s="46" t="str">
        <f t="shared" si="2"/>
        <v>Mon</v>
      </c>
      <c r="FB5" s="46" t="str">
        <f t="shared" si="2"/>
        <v>Tue</v>
      </c>
      <c r="FC5" s="46" t="str">
        <f t="shared" si="2"/>
        <v>Wed</v>
      </c>
      <c r="FD5" s="46" t="str">
        <f t="shared" si="2"/>
        <v>Thu</v>
      </c>
      <c r="FE5" s="46" t="str">
        <f t="shared" si="2"/>
        <v>Fri</v>
      </c>
      <c r="FF5" s="46" t="str">
        <f t="shared" si="2"/>
        <v>Sat</v>
      </c>
      <c r="FG5" s="46" t="str">
        <f t="shared" si="2"/>
        <v>Sun</v>
      </c>
      <c r="FH5" s="46" t="str">
        <f t="shared" si="2"/>
        <v>Mon</v>
      </c>
      <c r="FI5" s="46" t="str">
        <f t="shared" si="2"/>
        <v>Tue</v>
      </c>
      <c r="FJ5" s="46" t="str">
        <f t="shared" si="2"/>
        <v>Wed</v>
      </c>
      <c r="FK5" s="46" t="str">
        <f t="shared" si="2"/>
        <v>Thu</v>
      </c>
      <c r="FL5" s="46" t="str">
        <f t="shared" si="2"/>
        <v>Fri</v>
      </c>
      <c r="FM5" s="46" t="str">
        <f t="shared" si="2"/>
        <v>Sat</v>
      </c>
      <c r="FN5" s="46" t="str">
        <f t="shared" si="2"/>
        <v>Sun</v>
      </c>
      <c r="FO5" s="46" t="str">
        <f t="shared" si="2"/>
        <v>Mon</v>
      </c>
      <c r="FP5" s="46" t="str">
        <f t="shared" si="2"/>
        <v>Tue</v>
      </c>
      <c r="FQ5" s="46" t="str">
        <f t="shared" si="2"/>
        <v>Wed</v>
      </c>
      <c r="FR5" s="46" t="str">
        <f t="shared" si="2"/>
        <v>Thu</v>
      </c>
      <c r="FS5" s="46" t="str">
        <f t="shared" si="2"/>
        <v>Fri</v>
      </c>
      <c r="FT5" s="46" t="str">
        <f t="shared" si="2"/>
        <v>Sat</v>
      </c>
      <c r="FU5" s="46" t="str">
        <f t="shared" si="2"/>
        <v>Sun</v>
      </c>
      <c r="FV5" s="46" t="str">
        <f t="shared" si="2"/>
        <v>Mon</v>
      </c>
      <c r="FW5" s="46" t="str">
        <f t="shared" si="2"/>
        <v>Tue</v>
      </c>
      <c r="FX5" s="46" t="str">
        <f t="shared" si="2"/>
        <v>Wed</v>
      </c>
      <c r="FY5" s="46" t="str">
        <f t="shared" si="2"/>
        <v>Thu</v>
      </c>
      <c r="FZ5" s="46" t="str">
        <f t="shared" si="2"/>
        <v>Fri</v>
      </c>
      <c r="GA5" s="46" t="str">
        <f t="shared" si="2"/>
        <v>Sat</v>
      </c>
      <c r="GB5" s="46" t="str">
        <f t="shared" si="2"/>
        <v>Sun</v>
      </c>
      <c r="GC5" s="46" t="str">
        <f t="shared" si="2"/>
        <v>Mon</v>
      </c>
      <c r="GD5" s="46" t="str">
        <f t="shared" si="2"/>
        <v>Tue</v>
      </c>
      <c r="GE5" s="46" t="str">
        <f t="shared" si="2"/>
        <v>Wed</v>
      </c>
      <c r="GF5" s="46" t="str">
        <f t="shared" si="2"/>
        <v>Thu</v>
      </c>
    </row>
    <row r="6" spans="2:188" s="44" customFormat="1" ht="21" x14ac:dyDescent="0.25">
      <c r="B6" s="88"/>
      <c r="C6" s="86"/>
      <c r="D6" s="86"/>
      <c r="E6" s="86"/>
      <c r="F6" s="86"/>
      <c r="G6" s="86"/>
      <c r="H6" s="43"/>
      <c r="I6" s="45">
        <v>1</v>
      </c>
      <c r="J6" s="45">
        <v>2</v>
      </c>
      <c r="K6" s="45">
        <v>3</v>
      </c>
      <c r="L6" s="45">
        <v>4</v>
      </c>
      <c r="M6" s="45">
        <v>5</v>
      </c>
      <c r="N6" s="45">
        <v>6</v>
      </c>
      <c r="O6" s="45">
        <v>7</v>
      </c>
      <c r="P6" s="45">
        <v>8</v>
      </c>
      <c r="Q6" s="45">
        <v>9</v>
      </c>
      <c r="R6" s="45">
        <v>10</v>
      </c>
      <c r="S6" s="45">
        <v>11</v>
      </c>
      <c r="T6" s="45">
        <v>12</v>
      </c>
      <c r="U6" s="45">
        <v>13</v>
      </c>
      <c r="V6" s="45">
        <v>14</v>
      </c>
      <c r="W6" s="45">
        <v>15</v>
      </c>
      <c r="X6" s="45">
        <v>16</v>
      </c>
      <c r="Y6" s="45">
        <v>17</v>
      </c>
      <c r="Z6" s="45">
        <v>18</v>
      </c>
      <c r="AA6" s="45">
        <v>19</v>
      </c>
      <c r="AB6" s="45">
        <v>20</v>
      </c>
      <c r="AC6" s="45">
        <v>21</v>
      </c>
      <c r="AD6" s="45">
        <v>22</v>
      </c>
      <c r="AE6" s="45">
        <v>23</v>
      </c>
      <c r="AF6" s="45">
        <v>24</v>
      </c>
      <c r="AG6" s="45">
        <v>25</v>
      </c>
      <c r="AH6" s="45">
        <v>26</v>
      </c>
      <c r="AI6" s="45">
        <v>27</v>
      </c>
      <c r="AJ6" s="45">
        <v>28</v>
      </c>
      <c r="AK6" s="45">
        <v>29</v>
      </c>
      <c r="AL6" s="45">
        <v>30</v>
      </c>
      <c r="AM6" s="45">
        <v>31</v>
      </c>
      <c r="AN6" s="45">
        <v>32</v>
      </c>
      <c r="AO6" s="45">
        <v>33</v>
      </c>
      <c r="AP6" s="45">
        <v>34</v>
      </c>
      <c r="AQ6" s="45">
        <v>35</v>
      </c>
      <c r="AR6" s="45">
        <v>36</v>
      </c>
      <c r="AS6" s="45">
        <v>37</v>
      </c>
      <c r="AT6" s="45">
        <v>38</v>
      </c>
      <c r="AU6" s="45">
        <v>39</v>
      </c>
      <c r="AV6" s="45">
        <v>40</v>
      </c>
      <c r="AW6" s="45">
        <v>41</v>
      </c>
      <c r="AX6" s="45">
        <v>42</v>
      </c>
      <c r="AY6" s="45">
        <v>43</v>
      </c>
      <c r="AZ6" s="45">
        <v>44</v>
      </c>
      <c r="BA6" s="45">
        <v>45</v>
      </c>
      <c r="BB6" s="45">
        <v>46</v>
      </c>
      <c r="BC6" s="45">
        <v>47</v>
      </c>
      <c r="BD6" s="45">
        <v>48</v>
      </c>
      <c r="BE6" s="45">
        <v>49</v>
      </c>
      <c r="BF6" s="45">
        <v>50</v>
      </c>
      <c r="BG6" s="45">
        <v>51</v>
      </c>
      <c r="BH6" s="45">
        <v>52</v>
      </c>
      <c r="BI6" s="45">
        <v>53</v>
      </c>
      <c r="BJ6" s="45">
        <v>54</v>
      </c>
      <c r="BK6" s="45">
        <v>55</v>
      </c>
      <c r="BL6" s="45">
        <v>56</v>
      </c>
      <c r="BM6" s="45">
        <v>57</v>
      </c>
      <c r="BN6" s="45">
        <v>58</v>
      </c>
      <c r="BO6" s="45">
        <v>59</v>
      </c>
      <c r="BP6" s="45">
        <v>60</v>
      </c>
      <c r="BQ6" s="45">
        <v>61</v>
      </c>
      <c r="BR6" s="45">
        <v>62</v>
      </c>
      <c r="BS6" s="45">
        <v>63</v>
      </c>
      <c r="BT6" s="45">
        <v>64</v>
      </c>
      <c r="BU6" s="45">
        <v>65</v>
      </c>
      <c r="BV6" s="45">
        <v>66</v>
      </c>
      <c r="BW6" s="45">
        <v>67</v>
      </c>
      <c r="BX6" s="45">
        <v>68</v>
      </c>
      <c r="BY6" s="45">
        <v>69</v>
      </c>
      <c r="BZ6" s="45">
        <v>70</v>
      </c>
      <c r="CA6" s="45">
        <v>71</v>
      </c>
      <c r="CB6" s="45">
        <v>72</v>
      </c>
      <c r="CC6" s="45">
        <v>73</v>
      </c>
      <c r="CD6" s="45">
        <v>74</v>
      </c>
      <c r="CE6" s="45">
        <v>75</v>
      </c>
      <c r="CF6" s="45">
        <v>76</v>
      </c>
      <c r="CG6" s="45">
        <v>77</v>
      </c>
      <c r="CH6" s="45">
        <v>78</v>
      </c>
      <c r="CI6" s="45">
        <v>79</v>
      </c>
      <c r="CJ6" s="45">
        <v>80</v>
      </c>
      <c r="CK6" s="45">
        <v>81</v>
      </c>
      <c r="CL6" s="45">
        <v>82</v>
      </c>
      <c r="CM6" s="45">
        <v>83</v>
      </c>
      <c r="CN6" s="45">
        <v>84</v>
      </c>
      <c r="CO6" s="45">
        <v>85</v>
      </c>
      <c r="CP6" s="45">
        <v>86</v>
      </c>
      <c r="CQ6" s="45">
        <v>87</v>
      </c>
      <c r="CR6" s="45">
        <v>88</v>
      </c>
      <c r="CS6" s="45">
        <v>89</v>
      </c>
      <c r="CT6" s="45">
        <v>90</v>
      </c>
      <c r="CU6" s="45">
        <v>91</v>
      </c>
      <c r="CV6" s="45">
        <v>92</v>
      </c>
      <c r="CW6" s="45">
        <v>93</v>
      </c>
      <c r="CX6" s="45">
        <v>94</v>
      </c>
      <c r="CY6" s="45">
        <v>95</v>
      </c>
      <c r="CZ6" s="45">
        <v>96</v>
      </c>
      <c r="DA6" s="45">
        <v>97</v>
      </c>
      <c r="DB6" s="45">
        <v>98</v>
      </c>
      <c r="DC6" s="45">
        <v>99</v>
      </c>
      <c r="DD6" s="45">
        <v>100</v>
      </c>
      <c r="DE6" s="45">
        <v>101</v>
      </c>
      <c r="DF6" s="45">
        <v>102</v>
      </c>
      <c r="DG6" s="45">
        <v>103</v>
      </c>
      <c r="DH6" s="45">
        <v>104</v>
      </c>
      <c r="DI6" s="45">
        <v>105</v>
      </c>
      <c r="DJ6" s="45">
        <v>106</v>
      </c>
      <c r="DK6" s="45">
        <v>107</v>
      </c>
      <c r="DL6" s="45">
        <v>108</v>
      </c>
      <c r="DM6" s="45">
        <v>109</v>
      </c>
      <c r="DN6" s="45">
        <v>110</v>
      </c>
      <c r="DO6" s="45">
        <v>111</v>
      </c>
      <c r="DP6" s="45">
        <v>112</v>
      </c>
      <c r="DQ6" s="45">
        <v>113</v>
      </c>
      <c r="DR6" s="45">
        <v>114</v>
      </c>
      <c r="DS6" s="45">
        <v>115</v>
      </c>
      <c r="DT6" s="45">
        <v>116</v>
      </c>
      <c r="DU6" s="45">
        <v>117</v>
      </c>
      <c r="DV6" s="45">
        <v>118</v>
      </c>
      <c r="DW6" s="45">
        <v>119</v>
      </c>
      <c r="DX6" s="45">
        <v>120</v>
      </c>
      <c r="DY6" s="45">
        <v>121</v>
      </c>
      <c r="DZ6" s="45">
        <v>122</v>
      </c>
      <c r="EA6" s="45">
        <v>123</v>
      </c>
      <c r="EB6" s="45">
        <v>124</v>
      </c>
      <c r="EC6" s="45">
        <v>125</v>
      </c>
      <c r="ED6" s="45">
        <v>126</v>
      </c>
      <c r="EE6" s="45">
        <v>127</v>
      </c>
      <c r="EF6" s="45">
        <v>128</v>
      </c>
      <c r="EG6" s="45">
        <v>129</v>
      </c>
      <c r="EH6" s="45">
        <v>130</v>
      </c>
      <c r="EI6" s="45">
        <v>131</v>
      </c>
      <c r="EJ6" s="45">
        <v>132</v>
      </c>
      <c r="EK6" s="45">
        <v>133</v>
      </c>
      <c r="EL6" s="45">
        <v>134</v>
      </c>
      <c r="EM6" s="45">
        <v>135</v>
      </c>
      <c r="EN6" s="45">
        <v>136</v>
      </c>
      <c r="EO6" s="45">
        <v>137</v>
      </c>
      <c r="EP6" s="45">
        <v>138</v>
      </c>
      <c r="EQ6" s="45">
        <v>139</v>
      </c>
      <c r="ER6" s="45">
        <v>140</v>
      </c>
      <c r="ES6" s="45">
        <v>141</v>
      </c>
      <c r="ET6" s="45">
        <v>142</v>
      </c>
      <c r="EU6" s="45">
        <v>143</v>
      </c>
      <c r="EV6" s="45">
        <v>144</v>
      </c>
      <c r="EW6" s="45">
        <v>145</v>
      </c>
      <c r="EX6" s="45">
        <v>146</v>
      </c>
      <c r="EY6" s="45">
        <v>147</v>
      </c>
      <c r="EZ6" s="45">
        <v>148</v>
      </c>
      <c r="FA6" s="45">
        <v>149</v>
      </c>
      <c r="FB6" s="45">
        <v>150</v>
      </c>
      <c r="FC6" s="45">
        <v>151</v>
      </c>
      <c r="FD6" s="45">
        <v>152</v>
      </c>
      <c r="FE6" s="45">
        <v>153</v>
      </c>
      <c r="FF6" s="45">
        <v>154</v>
      </c>
      <c r="FG6" s="45">
        <v>155</v>
      </c>
      <c r="FH6" s="45">
        <v>156</v>
      </c>
      <c r="FI6" s="45">
        <v>157</v>
      </c>
      <c r="FJ6" s="45">
        <v>158</v>
      </c>
      <c r="FK6" s="45">
        <v>159</v>
      </c>
      <c r="FL6" s="45">
        <v>160</v>
      </c>
      <c r="FM6" s="45">
        <v>161</v>
      </c>
      <c r="FN6" s="45">
        <v>162</v>
      </c>
      <c r="FO6" s="45">
        <v>163</v>
      </c>
      <c r="FP6" s="45">
        <v>164</v>
      </c>
      <c r="FQ6" s="45">
        <v>165</v>
      </c>
      <c r="FR6" s="45">
        <v>166</v>
      </c>
      <c r="FS6" s="45">
        <v>167</v>
      </c>
      <c r="FT6" s="45">
        <v>168</v>
      </c>
      <c r="FU6" s="45">
        <v>169</v>
      </c>
      <c r="FV6" s="45">
        <v>170</v>
      </c>
      <c r="FW6" s="45">
        <v>171</v>
      </c>
      <c r="FX6" s="45">
        <v>172</v>
      </c>
      <c r="FY6" s="45">
        <v>173</v>
      </c>
      <c r="FZ6" s="45">
        <v>174</v>
      </c>
      <c r="GA6" s="45">
        <v>175</v>
      </c>
      <c r="GB6" s="45">
        <v>176</v>
      </c>
      <c r="GC6" s="45">
        <v>177</v>
      </c>
      <c r="GD6" s="45">
        <v>178</v>
      </c>
      <c r="GE6" s="45">
        <v>179</v>
      </c>
      <c r="GF6" s="45">
        <v>180</v>
      </c>
    </row>
    <row r="7" spans="2:188" x14ac:dyDescent="0.3">
      <c r="B7" s="16" t="s">
        <v>61</v>
      </c>
      <c r="C7" s="25">
        <v>1</v>
      </c>
      <c r="D7" s="24">
        <v>1</v>
      </c>
      <c r="E7" s="24"/>
      <c r="F7" s="24"/>
      <c r="G7" s="24"/>
      <c r="H7" s="24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</row>
    <row r="8" spans="2:188" x14ac:dyDescent="0.3">
      <c r="B8" s="16" t="s">
        <v>80</v>
      </c>
      <c r="C8" s="25">
        <v>4</v>
      </c>
      <c r="D8" s="24">
        <v>1</v>
      </c>
      <c r="E8" s="24"/>
      <c r="F8" s="24"/>
      <c r="G8" s="24"/>
      <c r="H8" s="24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</row>
    <row r="9" spans="2:188" x14ac:dyDescent="0.3">
      <c r="B9" s="16" t="s">
        <v>81</v>
      </c>
      <c r="C9" s="25">
        <v>7</v>
      </c>
      <c r="D9" s="24">
        <v>1</v>
      </c>
      <c r="E9" s="24"/>
      <c r="F9" s="24"/>
      <c r="G9" s="24"/>
      <c r="H9" s="24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</row>
    <row r="10" spans="2:188" x14ac:dyDescent="0.3">
      <c r="B10" s="16" t="s">
        <v>71</v>
      </c>
      <c r="C10" s="25">
        <v>16</v>
      </c>
      <c r="D10" s="24">
        <v>1</v>
      </c>
      <c r="E10" s="24"/>
      <c r="F10" s="24"/>
      <c r="G10" s="24"/>
      <c r="H10" s="24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</row>
    <row r="11" spans="2:188" s="1" customFormat="1" x14ac:dyDescent="0.3">
      <c r="B11" s="17" t="s">
        <v>62</v>
      </c>
      <c r="C11" s="25">
        <v>18</v>
      </c>
      <c r="D11" s="25">
        <v>1</v>
      </c>
      <c r="E11" s="25"/>
      <c r="F11" s="25"/>
      <c r="G11" s="25"/>
      <c r="H11" s="25"/>
    </row>
    <row r="12" spans="2:188" s="1" customFormat="1" x14ac:dyDescent="0.3">
      <c r="B12" s="5" t="s">
        <v>63</v>
      </c>
      <c r="C12" s="6">
        <v>40</v>
      </c>
      <c r="D12" s="6">
        <v>1</v>
      </c>
      <c r="E12" s="6"/>
      <c r="F12" s="6"/>
      <c r="G12" s="26"/>
      <c r="H12" s="26"/>
    </row>
    <row r="13" spans="2:188" s="1" customFormat="1" x14ac:dyDescent="0.3">
      <c r="B13" s="5" t="s">
        <v>82</v>
      </c>
      <c r="C13" s="6">
        <v>59</v>
      </c>
      <c r="D13" s="6">
        <v>1</v>
      </c>
      <c r="E13" s="6"/>
      <c r="F13" s="6"/>
      <c r="G13" s="26"/>
      <c r="H13" s="26"/>
    </row>
    <row r="14" spans="2:188" s="1" customFormat="1" ht="17.45" customHeight="1" x14ac:dyDescent="0.3">
      <c r="B14" s="18" t="s">
        <v>64</v>
      </c>
      <c r="C14" s="25">
        <v>75</v>
      </c>
      <c r="D14" s="25">
        <v>1</v>
      </c>
      <c r="E14" s="25"/>
      <c r="F14" s="25"/>
      <c r="G14" s="25"/>
      <c r="H14" s="25"/>
    </row>
    <row r="15" spans="2:188" s="1" customFormat="1" x14ac:dyDescent="0.3">
      <c r="B15" s="5" t="s">
        <v>65</v>
      </c>
      <c r="C15" s="6">
        <v>84</v>
      </c>
      <c r="D15" s="6">
        <v>2</v>
      </c>
      <c r="E15" s="6"/>
      <c r="F15" s="6"/>
      <c r="G15" s="26"/>
      <c r="H15" s="26"/>
    </row>
    <row r="16" spans="2:188" s="1" customFormat="1" x14ac:dyDescent="0.3">
      <c r="B16" s="5" t="s">
        <v>66</v>
      </c>
      <c r="C16" s="6">
        <v>1</v>
      </c>
      <c r="D16" s="6">
        <v>102</v>
      </c>
      <c r="E16" s="6"/>
      <c r="F16" s="6"/>
      <c r="G16" s="26"/>
      <c r="H16" s="26"/>
    </row>
    <row r="17" spans="2:8" s="1" customFormat="1" x14ac:dyDescent="0.3">
      <c r="B17" s="5" t="s">
        <v>67</v>
      </c>
      <c r="C17" s="6">
        <f>D16+1</f>
        <v>103</v>
      </c>
      <c r="D17" s="6">
        <v>7</v>
      </c>
      <c r="E17" s="6"/>
      <c r="F17" s="6"/>
      <c r="G17" s="26"/>
      <c r="H17" s="26"/>
    </row>
    <row r="18" spans="2:8" s="1" customFormat="1" x14ac:dyDescent="0.3">
      <c r="B18" s="5" t="s">
        <v>68</v>
      </c>
      <c r="C18" s="6">
        <f>C17+D17</f>
        <v>110</v>
      </c>
      <c r="D18" s="6">
        <v>30</v>
      </c>
      <c r="E18" s="6"/>
      <c r="F18" s="6"/>
      <c r="G18" s="26"/>
      <c r="H18" s="26"/>
    </row>
    <row r="19" spans="2:8" s="1" customFormat="1" x14ac:dyDescent="0.3">
      <c r="B19" s="5" t="s">
        <v>69</v>
      </c>
      <c r="C19" s="6">
        <f>C18+D18</f>
        <v>140</v>
      </c>
      <c r="D19" s="6">
        <v>14</v>
      </c>
      <c r="E19" s="6"/>
      <c r="F19" s="6"/>
      <c r="G19" s="26"/>
      <c r="H19" s="26"/>
    </row>
    <row r="20" spans="2:8" s="1" customFormat="1" x14ac:dyDescent="0.3">
      <c r="B20" s="5" t="s">
        <v>70</v>
      </c>
      <c r="C20" s="6">
        <f>C19+D19</f>
        <v>154</v>
      </c>
      <c r="D20" s="6">
        <v>1</v>
      </c>
      <c r="E20" s="6"/>
      <c r="F20" s="6"/>
      <c r="G20" s="26"/>
      <c r="H20" s="26"/>
    </row>
    <row r="21" spans="2:8" s="1" customFormat="1" x14ac:dyDescent="0.3">
      <c r="B21" s="5" t="s">
        <v>22</v>
      </c>
      <c r="C21" s="6">
        <v>52</v>
      </c>
      <c r="D21" s="6">
        <v>1</v>
      </c>
      <c r="E21" s="6"/>
      <c r="F21" s="6"/>
      <c r="G21" s="26"/>
      <c r="H21" s="26"/>
    </row>
    <row r="22" spans="2:8" s="1" customFormat="1" x14ac:dyDescent="0.3">
      <c r="B22" s="17" t="s">
        <v>16</v>
      </c>
      <c r="C22" s="25">
        <v>70</v>
      </c>
      <c r="D22" s="25">
        <v>75</v>
      </c>
      <c r="E22" s="25"/>
      <c r="F22" s="25"/>
      <c r="G22" s="25"/>
      <c r="H22" s="25"/>
    </row>
    <row r="23" spans="2:8" s="1" customFormat="1" x14ac:dyDescent="0.3">
      <c r="B23" s="11" t="s">
        <v>71</v>
      </c>
      <c r="C23" s="6">
        <v>65</v>
      </c>
      <c r="D23" s="6">
        <v>1</v>
      </c>
      <c r="E23" s="6"/>
      <c r="F23" s="6"/>
      <c r="G23" s="26"/>
      <c r="H23" s="26"/>
    </row>
    <row r="24" spans="2:8" s="1" customFormat="1" x14ac:dyDescent="0.3">
      <c r="B24" s="5" t="s">
        <v>72</v>
      </c>
      <c r="C24" s="6">
        <v>70</v>
      </c>
      <c r="D24" s="6">
        <v>1</v>
      </c>
      <c r="E24" s="6"/>
      <c r="F24" s="6"/>
      <c r="G24" s="26"/>
      <c r="H24" s="26"/>
    </row>
    <row r="25" spans="2:8" s="1" customFormat="1" x14ac:dyDescent="0.3">
      <c r="B25" s="11" t="s">
        <v>175</v>
      </c>
      <c r="C25" s="6">
        <v>72</v>
      </c>
      <c r="D25" s="6">
        <v>3</v>
      </c>
      <c r="E25" s="6"/>
      <c r="F25" s="6"/>
      <c r="G25" s="26"/>
      <c r="H25" s="26"/>
    </row>
    <row r="26" spans="2:8" s="1" customFormat="1" x14ac:dyDescent="0.3">
      <c r="B26" s="5" t="s">
        <v>74</v>
      </c>
      <c r="C26" s="6"/>
      <c r="D26" s="6"/>
      <c r="E26" s="6"/>
      <c r="F26" s="6"/>
      <c r="G26" s="26"/>
      <c r="H26" s="26"/>
    </row>
    <row r="27" spans="2:8" s="1" customFormat="1" x14ac:dyDescent="0.3">
      <c r="B27" s="11" t="s">
        <v>180</v>
      </c>
      <c r="C27" s="6">
        <v>75</v>
      </c>
      <c r="D27" s="6">
        <v>16</v>
      </c>
      <c r="E27" s="6"/>
      <c r="F27" s="6"/>
      <c r="G27" s="26"/>
      <c r="H27" s="26"/>
    </row>
    <row r="28" spans="2:8" s="1" customFormat="1" x14ac:dyDescent="0.3">
      <c r="B28" s="11" t="s">
        <v>181</v>
      </c>
      <c r="C28" s="6">
        <v>75</v>
      </c>
      <c r="D28" s="6">
        <v>16</v>
      </c>
      <c r="E28" s="6"/>
      <c r="F28" s="6"/>
      <c r="G28" s="26"/>
      <c r="H28" s="26"/>
    </row>
    <row r="29" spans="2:8" s="1" customFormat="1" x14ac:dyDescent="0.3">
      <c r="B29" s="11" t="s">
        <v>182</v>
      </c>
      <c r="C29" s="6">
        <v>91</v>
      </c>
      <c r="D29" s="6">
        <v>17</v>
      </c>
      <c r="E29" s="6"/>
      <c r="F29" s="6"/>
      <c r="G29" s="26"/>
      <c r="H29" s="26"/>
    </row>
    <row r="30" spans="2:8" s="1" customFormat="1" x14ac:dyDescent="0.3">
      <c r="B30" s="11" t="s">
        <v>183</v>
      </c>
      <c r="C30" s="6">
        <v>91</v>
      </c>
      <c r="D30" s="6">
        <v>17</v>
      </c>
      <c r="E30" s="6"/>
      <c r="F30" s="6"/>
      <c r="G30" s="26"/>
      <c r="H30" s="26"/>
    </row>
    <row r="31" spans="2:8" s="1" customFormat="1" x14ac:dyDescent="0.3">
      <c r="B31" s="11" t="s">
        <v>184</v>
      </c>
      <c r="C31" s="6">
        <v>108</v>
      </c>
      <c r="D31" s="6">
        <v>10</v>
      </c>
      <c r="E31" s="6"/>
      <c r="F31" s="6"/>
      <c r="G31" s="26"/>
      <c r="H31" s="26"/>
    </row>
    <row r="32" spans="2:8" s="1" customFormat="1" x14ac:dyDescent="0.3">
      <c r="B32" s="11" t="s">
        <v>185</v>
      </c>
      <c r="C32" s="6">
        <v>114</v>
      </c>
      <c r="D32" s="6">
        <v>10</v>
      </c>
      <c r="E32" s="6"/>
      <c r="F32" s="6"/>
      <c r="G32" s="26"/>
      <c r="H32" s="26"/>
    </row>
    <row r="33" spans="2:39" s="1" customFormat="1" x14ac:dyDescent="0.3">
      <c r="B33" s="11" t="s">
        <v>186</v>
      </c>
      <c r="C33" s="6">
        <v>124</v>
      </c>
      <c r="D33" s="6">
        <v>15</v>
      </c>
      <c r="E33" s="6"/>
      <c r="F33" s="6"/>
      <c r="G33" s="26"/>
      <c r="H33" s="26"/>
    </row>
    <row r="34" spans="2:39" s="1" customFormat="1" x14ac:dyDescent="0.3">
      <c r="B34" s="11" t="s">
        <v>187</v>
      </c>
      <c r="C34" s="6">
        <v>85</v>
      </c>
      <c r="D34" s="6">
        <v>1</v>
      </c>
      <c r="E34" s="6"/>
      <c r="F34" s="6"/>
      <c r="G34" s="26"/>
      <c r="H34" s="26"/>
    </row>
    <row r="35" spans="2:39" s="1" customFormat="1" x14ac:dyDescent="0.3">
      <c r="B35" s="11" t="s">
        <v>188</v>
      </c>
      <c r="C35" s="6">
        <v>85</v>
      </c>
      <c r="D35" s="6">
        <v>1</v>
      </c>
      <c r="E35" s="6"/>
      <c r="F35" s="6"/>
      <c r="G35" s="26"/>
      <c r="H35" s="26"/>
    </row>
    <row r="36" spans="2:39" s="1" customFormat="1" x14ac:dyDescent="0.3">
      <c r="B36" s="11" t="s">
        <v>189</v>
      </c>
      <c r="C36" s="6">
        <v>104</v>
      </c>
      <c r="D36" s="6">
        <v>1</v>
      </c>
      <c r="E36" s="6"/>
      <c r="F36" s="6"/>
      <c r="G36" s="26"/>
      <c r="H36" s="26"/>
    </row>
    <row r="37" spans="2:39" s="1" customFormat="1" x14ac:dyDescent="0.3">
      <c r="B37" s="11" t="s">
        <v>178</v>
      </c>
      <c r="C37" s="6">
        <v>92</v>
      </c>
      <c r="D37" s="6">
        <v>4</v>
      </c>
      <c r="E37" s="6"/>
      <c r="F37" s="6"/>
      <c r="G37" s="26"/>
      <c r="H37" s="26"/>
    </row>
    <row r="38" spans="2:39" s="1" customFormat="1" x14ac:dyDescent="0.3">
      <c r="B38" s="11" t="s">
        <v>179</v>
      </c>
      <c r="C38" s="6">
        <v>108</v>
      </c>
      <c r="D38" s="6">
        <v>4</v>
      </c>
      <c r="E38" s="6"/>
      <c r="F38" s="6"/>
      <c r="G38" s="26"/>
      <c r="H38" s="26"/>
    </row>
    <row r="39" spans="2:39" s="1" customFormat="1" x14ac:dyDescent="0.3">
      <c r="B39" s="11" t="s">
        <v>177</v>
      </c>
      <c r="C39" s="6">
        <v>163</v>
      </c>
      <c r="D39" s="6">
        <v>7</v>
      </c>
      <c r="E39" s="6"/>
      <c r="F39" s="6"/>
      <c r="G39" s="26"/>
      <c r="H39" s="26"/>
    </row>
    <row r="40" spans="2:39" x14ac:dyDescent="0.3">
      <c r="AD40" s="1"/>
      <c r="AE40" s="1"/>
      <c r="AF40" s="1"/>
      <c r="AG40" s="1"/>
      <c r="AH40" s="1"/>
      <c r="AI40" s="1"/>
      <c r="AJ40" s="1"/>
      <c r="AK40" s="1"/>
      <c r="AL40" s="1"/>
      <c r="AM40" s="1"/>
    </row>
  </sheetData>
  <mergeCells count="11">
    <mergeCell ref="L2:P2"/>
    <mergeCell ref="R2:U2"/>
    <mergeCell ref="W2:Z2"/>
    <mergeCell ref="AB2:AG2"/>
    <mergeCell ref="I3:AL3"/>
    <mergeCell ref="G3:G6"/>
    <mergeCell ref="B3:B6"/>
    <mergeCell ref="C3:C6"/>
    <mergeCell ref="D3:D6"/>
    <mergeCell ref="E3:E6"/>
    <mergeCell ref="F3:F6"/>
  </mergeCells>
  <conditionalFormatting sqref="B40:AM40">
    <cfRule type="expression" dxfId="29" priority="3">
      <formula>TRUE</formula>
    </cfRule>
  </conditionalFormatting>
  <conditionalFormatting sqref="H4:GF5 I6:GF6">
    <cfRule type="expression" dxfId="28" priority="1">
      <formula>H$6=period_selected</formula>
    </cfRule>
  </conditionalFormatting>
  <conditionalFormatting sqref="I7:GF39">
    <cfRule type="expression" dxfId="27" priority="4">
      <formula>PercentComplete</formula>
    </cfRule>
    <cfRule type="expression" dxfId="26" priority="5">
      <formula>PercentCompleteBeyond</formula>
    </cfRule>
    <cfRule type="expression" dxfId="25" priority="6">
      <formula>Actual</formula>
    </cfRule>
    <cfRule type="expression" dxfId="24" priority="7">
      <formula>ActualBeyond</formula>
    </cfRule>
    <cfRule type="expression" dxfId="23" priority="8">
      <formula>Plan</formula>
    </cfRule>
    <cfRule type="expression" dxfId="22" priority="9">
      <formula>I$6=period_selected</formula>
    </cfRule>
    <cfRule type="expression" dxfId="21" priority="11">
      <formula>MOD(COLUMN(),2)</formula>
    </cfRule>
    <cfRule type="expression" dxfId="20" priority="12">
      <formula>MOD(COLUMN(),2)=0</formula>
    </cfRule>
  </conditionalFormatting>
  <dataValidations count="15">
    <dataValidation allowBlank="1" showInputMessage="1" showErrorMessage="1" prompt="Select a period to highlight in H2. A Chart legend is in J2 to AI2" sqref="B2:F2" xr:uid="{5666B9E4-25A3-4C56-8AA4-54497C519DED}"/>
    <dataValidation allowBlank="1" showInputMessage="1" showErrorMessage="1" prompt="Title of the project. Enter a new title in this cell. Highlight a period in H2. Chart legend is in J2 to AI2" sqref="B1" xr:uid="{0BD957E8-2B15-461F-8FAF-B2488BA88A4D}"/>
    <dataValidation allowBlank="1" showInputMessage="1" showErrorMessage="1" prompt="Periods are charted from 1 to 60 starting from cell H4 to cell BO4 " sqref="I3" xr:uid="{208BD8AE-FF4B-4C37-81B4-D5D394C40985}"/>
    <dataValidation allowBlank="1" showInputMessage="1" showErrorMessage="1" prompt="This legend cell indicates actual duration beyond plan" sqref="AA2" xr:uid="{B5980FE6-0C9B-4A74-B313-762BCC5A47E0}"/>
    <dataValidation allowBlank="1" showInputMessage="1" showErrorMessage="1" prompt="This legend cell indicates the percentage of project completed" sqref="V2" xr:uid="{C94C40F3-AF42-4906-A83B-E66AC05B48DC}"/>
    <dataValidation allowBlank="1" showInputMessage="1" showErrorMessage="1" prompt="This legend cell indicates actual duration" sqref="Q2" xr:uid="{695035B4-AD4B-4B44-8614-099841EF993B}"/>
    <dataValidation allowBlank="1" showInputMessage="1" showErrorMessage="1" prompt="This legend cell indicates plan duration" sqref="K2" xr:uid="{244C574B-442E-4D12-9C2E-BA8371C6F53B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I2" xr:uid="{3BA54EDE-42E0-4497-A58A-869173E075C7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88E44FF4-C77C-402A-8AAC-776045477A85}"/>
    <dataValidation allowBlank="1" showInputMessage="1" showErrorMessage="1" prompt="Enter the percentage of project completed in column G, starting with cell G5" sqref="G3:H6" xr:uid="{35B74FF0-4A5A-4DCE-BD67-25155CB0F41B}"/>
    <dataValidation allowBlank="1" showInputMessage="1" showErrorMessage="1" prompt="Enter actual duration period in column F, starting with cell F5" sqref="F3:F6" xr:uid="{9911A46B-6764-4939-A01C-15E847152E28}"/>
    <dataValidation allowBlank="1" showInputMessage="1" showErrorMessage="1" prompt="Enter actual start period in column E, starting with cell E5" sqref="E3:E6" xr:uid="{EA9ADF97-BA9B-4068-8D13-EB874EAB4D6A}"/>
    <dataValidation allowBlank="1" showInputMessage="1" showErrorMessage="1" prompt="Enter plan duration period in column D, starting with cell D5" sqref="D3:D6" xr:uid="{F6B63CF1-777D-4E70-A8E9-65A2CF9A7A66}"/>
    <dataValidation allowBlank="1" showInputMessage="1" showErrorMessage="1" prompt="Enter plan start period in column C, starting with cell C5" sqref="C3:C6" xr:uid="{B36371F5-83B5-4FB2-B76E-85670B8F58CE}"/>
    <dataValidation allowBlank="1" showInputMessage="1" showErrorMessage="1" prompt="Enter activity in column B, starting with cell B5_x000a_" sqref="B3:B6" xr:uid="{BB1E82A5-5EB4-4993-BC20-55E72687071F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051D9-6313-4847-BD7B-5CE42C2E0243}">
  <sheetPr>
    <tabColor theme="7"/>
    <pageSetUpPr fitToPage="1"/>
  </sheetPr>
  <dimension ref="B1:GG40"/>
  <sheetViews>
    <sheetView showGridLines="0" zoomScale="85" zoomScaleNormal="85" zoomScaleSheetLayoutView="80" workbookViewId="0">
      <pane ySplit="6" topLeftCell="A22" activePane="bottomLeft" state="frozen"/>
      <selection activeCell="D1" sqref="D1"/>
      <selection pane="bottomLeft" activeCell="R39" sqref="R39"/>
    </sheetView>
  </sheetViews>
  <sheetFormatPr defaultColWidth="2.75" defaultRowHeight="17.25" x14ac:dyDescent="0.3"/>
  <cols>
    <col min="1" max="1" width="2.625" customWidth="1"/>
    <col min="2" max="2" width="59.375" style="2" customWidth="1"/>
    <col min="3" max="3" width="11.875" style="1" bestFit="1" customWidth="1"/>
    <col min="4" max="5" width="11.375" style="1" customWidth="1"/>
    <col min="6" max="7" width="11.375" style="1" hidden="1" customWidth="1"/>
    <col min="8" max="8" width="11.375" style="3" hidden="1" customWidth="1"/>
    <col min="9" max="9" width="3.125" style="3" customWidth="1"/>
    <col min="10" max="10" width="7.375" style="1" bestFit="1" customWidth="1"/>
    <col min="11" max="29" width="3.875" style="1" customWidth="1"/>
    <col min="30" max="39" width="3.875" customWidth="1"/>
    <col min="40" max="87" width="2.75" customWidth="1"/>
    <col min="88" max="189" width="3.875" bestFit="1" customWidth="1"/>
  </cols>
  <sheetData>
    <row r="1" spans="2:189" ht="54.75" thickBot="1" x14ac:dyDescent="0.85">
      <c r="B1" s="9" t="s">
        <v>198</v>
      </c>
      <c r="C1" s="8"/>
      <c r="D1" s="8"/>
      <c r="E1" s="8"/>
      <c r="F1" s="8"/>
      <c r="G1" s="8"/>
      <c r="H1" s="8"/>
      <c r="I1" s="8"/>
    </row>
    <row r="2" spans="2:189" ht="16.5" thickTop="1" x14ac:dyDescent="0.25">
      <c r="B2" s="10" t="s">
        <v>11</v>
      </c>
      <c r="C2" s="10"/>
      <c r="D2" s="10"/>
      <c r="E2" s="10"/>
      <c r="F2" s="10"/>
      <c r="G2" s="10"/>
      <c r="H2" s="4" t="s">
        <v>3</v>
      </c>
      <c r="I2" s="4"/>
      <c r="J2" s="79">
        <v>45466</v>
      </c>
      <c r="L2" s="20"/>
      <c r="M2" s="89" t="s">
        <v>10</v>
      </c>
      <c r="N2" s="90"/>
      <c r="O2" s="90"/>
      <c r="P2" s="90"/>
      <c r="Q2" s="91"/>
      <c r="R2" s="21"/>
      <c r="S2" s="89" t="s">
        <v>9</v>
      </c>
      <c r="T2" s="92"/>
      <c r="U2" s="92"/>
      <c r="V2" s="91"/>
      <c r="W2" s="22"/>
      <c r="X2" s="93" t="s">
        <v>1</v>
      </c>
      <c r="Y2" s="94"/>
      <c r="Z2" s="94"/>
      <c r="AA2" s="95"/>
      <c r="AB2" s="23"/>
      <c r="AC2" s="93" t="s">
        <v>2</v>
      </c>
      <c r="AD2" s="94"/>
      <c r="AE2" s="94"/>
      <c r="AF2" s="94"/>
      <c r="AG2" s="94"/>
      <c r="AH2" s="94"/>
    </row>
    <row r="3" spans="2:189" s="7" customFormat="1" ht="15" x14ac:dyDescent="0.25">
      <c r="B3" s="97" t="s">
        <v>0</v>
      </c>
      <c r="C3" s="85" t="s">
        <v>4</v>
      </c>
      <c r="D3" s="85" t="s">
        <v>5</v>
      </c>
      <c r="E3" s="85" t="s">
        <v>192</v>
      </c>
      <c r="F3" s="85" t="s">
        <v>6</v>
      </c>
      <c r="G3" s="85" t="s">
        <v>7</v>
      </c>
      <c r="H3" s="84" t="s">
        <v>8</v>
      </c>
      <c r="I3" s="15"/>
      <c r="J3" s="99" t="s">
        <v>191</v>
      </c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0"/>
      <c r="BF3" s="100"/>
      <c r="BG3" s="100"/>
      <c r="BH3" s="100"/>
      <c r="BI3" s="100"/>
      <c r="BJ3" s="100"/>
      <c r="BK3" s="100"/>
      <c r="BL3" s="100"/>
      <c r="BM3" s="100"/>
      <c r="BN3" s="100"/>
      <c r="BO3" s="100"/>
      <c r="BP3" s="100"/>
      <c r="BQ3" s="100"/>
      <c r="BR3" s="100"/>
      <c r="BS3" s="100"/>
      <c r="BT3" s="100"/>
      <c r="BU3" s="100"/>
      <c r="BV3" s="100"/>
      <c r="BW3" s="100"/>
      <c r="BX3" s="100"/>
      <c r="BY3" s="100"/>
      <c r="BZ3" s="100"/>
      <c r="CA3" s="100"/>
      <c r="CB3" s="100"/>
      <c r="CC3" s="100"/>
      <c r="CD3" s="100"/>
      <c r="CE3" s="100"/>
      <c r="CF3" s="100"/>
      <c r="CG3" s="100"/>
      <c r="CH3" s="100"/>
      <c r="CI3" s="100"/>
      <c r="CJ3" s="100"/>
      <c r="CK3" s="100"/>
      <c r="CL3" s="100"/>
      <c r="CM3" s="100"/>
      <c r="CN3" s="100"/>
      <c r="CO3" s="100"/>
      <c r="CP3" s="100"/>
      <c r="CQ3" s="100"/>
      <c r="CR3" s="100"/>
      <c r="CS3" s="100"/>
      <c r="CT3" s="100"/>
      <c r="CU3" s="100"/>
      <c r="CV3" s="100"/>
      <c r="CW3" s="100"/>
      <c r="CX3" s="100"/>
      <c r="CY3" s="100"/>
      <c r="CZ3" s="100"/>
      <c r="DA3" s="100"/>
      <c r="DB3" s="100"/>
      <c r="DC3" s="100"/>
      <c r="DD3" s="100"/>
      <c r="DE3" s="100"/>
      <c r="DF3" s="100"/>
      <c r="DG3" s="100"/>
      <c r="DH3" s="100"/>
      <c r="DI3" s="100"/>
      <c r="DJ3" s="100"/>
      <c r="DK3" s="100"/>
      <c r="DL3" s="100"/>
      <c r="DM3" s="100"/>
      <c r="DN3" s="100"/>
      <c r="DO3" s="100"/>
      <c r="DP3" s="100"/>
      <c r="DQ3" s="100"/>
      <c r="DR3" s="100"/>
      <c r="DS3" s="100"/>
      <c r="DT3" s="100"/>
      <c r="DU3" s="100"/>
      <c r="DV3" s="100"/>
      <c r="DW3" s="100"/>
      <c r="DX3" s="100"/>
      <c r="DY3" s="100"/>
      <c r="DZ3" s="100"/>
      <c r="EA3" s="100"/>
      <c r="EB3" s="100"/>
      <c r="EC3" s="100"/>
      <c r="ED3" s="100"/>
      <c r="EE3" s="100"/>
      <c r="EF3" s="100"/>
      <c r="EG3" s="100"/>
      <c r="EH3" s="100"/>
      <c r="EI3" s="100"/>
      <c r="EJ3" s="100"/>
      <c r="EK3" s="100"/>
      <c r="EL3" s="100"/>
      <c r="EM3" s="100"/>
      <c r="EN3" s="100"/>
      <c r="EO3" s="100"/>
      <c r="EP3" s="100"/>
      <c r="EQ3" s="100"/>
      <c r="ER3" s="100"/>
      <c r="ES3" s="100"/>
      <c r="ET3" s="100"/>
      <c r="EU3" s="100"/>
      <c r="EV3" s="100"/>
      <c r="EW3" s="100"/>
      <c r="EX3" s="100"/>
      <c r="EY3" s="100"/>
      <c r="EZ3" s="100"/>
      <c r="FA3" s="100"/>
      <c r="FB3" s="100"/>
      <c r="FC3" s="100"/>
      <c r="FD3" s="100"/>
      <c r="FE3" s="100"/>
      <c r="FF3" s="100"/>
      <c r="FG3" s="100"/>
      <c r="FH3" s="100"/>
      <c r="FI3" s="100"/>
      <c r="FJ3" s="100"/>
      <c r="FK3" s="100"/>
      <c r="FL3" s="100"/>
      <c r="FM3" s="100"/>
      <c r="FN3" s="100"/>
      <c r="FO3" s="100"/>
      <c r="FP3" s="100"/>
      <c r="FQ3" s="100"/>
      <c r="FR3" s="100"/>
      <c r="FS3" s="100"/>
      <c r="FT3" s="100"/>
      <c r="FU3" s="100"/>
      <c r="FV3" s="100"/>
      <c r="FW3" s="100"/>
      <c r="FX3" s="100"/>
      <c r="FY3" s="100"/>
      <c r="FZ3" s="100"/>
      <c r="GA3" s="100"/>
      <c r="GB3" s="100"/>
      <c r="GC3" s="100"/>
      <c r="GD3" s="100"/>
      <c r="GE3" s="100"/>
      <c r="GF3" s="100"/>
      <c r="GG3" s="100"/>
    </row>
    <row r="4" spans="2:189" ht="33.75" x14ac:dyDescent="0.25">
      <c r="B4" s="97"/>
      <c r="C4" s="85"/>
      <c r="D4" s="85"/>
      <c r="E4" s="85"/>
      <c r="F4" s="85"/>
      <c r="G4" s="85"/>
      <c r="H4" s="85"/>
      <c r="I4" s="14" t="s">
        <v>20</v>
      </c>
      <c r="J4" s="61">
        <v>1</v>
      </c>
      <c r="K4" s="61">
        <v>2</v>
      </c>
      <c r="L4" s="61">
        <v>3</v>
      </c>
      <c r="M4" s="61">
        <v>4</v>
      </c>
      <c r="N4" s="61">
        <v>5</v>
      </c>
      <c r="O4" s="61">
        <v>6</v>
      </c>
      <c r="P4" s="61">
        <v>7</v>
      </c>
      <c r="Q4" s="61">
        <v>8</v>
      </c>
      <c r="R4" s="61">
        <v>9</v>
      </c>
      <c r="S4" s="61">
        <v>10</v>
      </c>
      <c r="T4" s="61">
        <v>11</v>
      </c>
      <c r="U4" s="61">
        <v>12</v>
      </c>
      <c r="V4" s="61">
        <v>13</v>
      </c>
      <c r="W4" s="61">
        <v>14</v>
      </c>
      <c r="X4" s="61">
        <v>15</v>
      </c>
      <c r="Y4" s="61">
        <v>16</v>
      </c>
      <c r="Z4" s="61">
        <v>17</v>
      </c>
      <c r="AA4" s="61">
        <v>18</v>
      </c>
      <c r="AB4" s="61">
        <v>19</v>
      </c>
      <c r="AC4" s="61">
        <v>20</v>
      </c>
      <c r="AD4" s="61">
        <v>21</v>
      </c>
      <c r="AE4" s="61">
        <v>22</v>
      </c>
      <c r="AF4" s="61">
        <v>23</v>
      </c>
      <c r="AG4" s="61">
        <v>24</v>
      </c>
      <c r="AH4" s="61">
        <v>25</v>
      </c>
      <c r="AI4" s="61">
        <v>26</v>
      </c>
      <c r="AJ4" s="61">
        <v>27</v>
      </c>
      <c r="AK4" s="61">
        <v>28</v>
      </c>
      <c r="AL4" s="61">
        <v>29</v>
      </c>
      <c r="AM4" s="61">
        <v>30</v>
      </c>
      <c r="AN4" s="61">
        <v>31</v>
      </c>
      <c r="AO4" s="61">
        <v>32</v>
      </c>
      <c r="AP4" s="61">
        <v>33</v>
      </c>
      <c r="AQ4" s="61">
        <v>34</v>
      </c>
      <c r="AR4" s="61">
        <v>35</v>
      </c>
      <c r="AS4" s="61">
        <v>36</v>
      </c>
      <c r="AT4" s="61">
        <v>37</v>
      </c>
      <c r="AU4" s="61">
        <v>38</v>
      </c>
      <c r="AV4" s="61">
        <v>39</v>
      </c>
      <c r="AW4" s="61">
        <v>40</v>
      </c>
      <c r="AX4" s="61">
        <v>41</v>
      </c>
      <c r="AY4" s="61">
        <v>42</v>
      </c>
      <c r="AZ4" s="61">
        <v>43</v>
      </c>
      <c r="BA4" s="61">
        <v>44</v>
      </c>
      <c r="BB4" s="61">
        <v>45</v>
      </c>
      <c r="BC4" s="61">
        <v>46</v>
      </c>
      <c r="BD4" s="61">
        <v>47</v>
      </c>
      <c r="BE4" s="61">
        <v>48</v>
      </c>
      <c r="BF4" s="61">
        <v>49</v>
      </c>
      <c r="BG4" s="61">
        <v>50</v>
      </c>
      <c r="BH4" s="61">
        <v>51</v>
      </c>
      <c r="BI4" s="61">
        <v>52</v>
      </c>
      <c r="BJ4" s="61">
        <v>53</v>
      </c>
      <c r="BK4" s="61">
        <v>54</v>
      </c>
      <c r="BL4" s="61">
        <v>55</v>
      </c>
      <c r="BM4" s="61">
        <v>56</v>
      </c>
      <c r="BN4" s="61">
        <v>57</v>
      </c>
      <c r="BO4" s="61">
        <v>58</v>
      </c>
      <c r="BP4" s="61">
        <v>59</v>
      </c>
      <c r="BQ4" s="61">
        <v>60</v>
      </c>
      <c r="BR4" s="61">
        <v>61</v>
      </c>
      <c r="BS4" s="61">
        <v>62</v>
      </c>
      <c r="BT4" s="61">
        <v>63</v>
      </c>
      <c r="BU4" s="61">
        <v>64</v>
      </c>
      <c r="BV4" s="61">
        <v>65</v>
      </c>
      <c r="BW4" s="61">
        <v>66</v>
      </c>
      <c r="BX4" s="61">
        <v>67</v>
      </c>
      <c r="BY4" s="61">
        <v>68</v>
      </c>
      <c r="BZ4" s="61">
        <v>69</v>
      </c>
      <c r="CA4" s="61">
        <v>70</v>
      </c>
      <c r="CB4" s="61">
        <v>71</v>
      </c>
      <c r="CC4" s="61">
        <v>72</v>
      </c>
      <c r="CD4" s="61">
        <v>73</v>
      </c>
      <c r="CE4" s="61">
        <v>74</v>
      </c>
      <c r="CF4" s="61">
        <v>75</v>
      </c>
      <c r="CG4" s="61">
        <v>76</v>
      </c>
      <c r="CH4" s="61">
        <v>77</v>
      </c>
      <c r="CI4" s="61">
        <v>78</v>
      </c>
      <c r="CJ4" s="61">
        <v>79</v>
      </c>
      <c r="CK4" s="61">
        <v>80</v>
      </c>
      <c r="CL4" s="61">
        <v>81</v>
      </c>
      <c r="CM4" s="61">
        <v>82</v>
      </c>
      <c r="CN4" s="61">
        <v>83</v>
      </c>
      <c r="CO4" s="61">
        <v>84</v>
      </c>
      <c r="CP4" s="61">
        <v>85</v>
      </c>
      <c r="CQ4" s="61">
        <v>86</v>
      </c>
      <c r="CR4" s="61">
        <v>87</v>
      </c>
      <c r="CS4" s="61">
        <v>88</v>
      </c>
      <c r="CT4" s="61">
        <v>89</v>
      </c>
      <c r="CU4" s="61">
        <v>90</v>
      </c>
      <c r="CV4" s="61">
        <v>91</v>
      </c>
      <c r="CW4" s="61">
        <v>92</v>
      </c>
      <c r="CX4" s="61">
        <v>93</v>
      </c>
      <c r="CY4" s="61">
        <v>94</v>
      </c>
      <c r="CZ4" s="61">
        <v>95</v>
      </c>
      <c r="DA4" s="61">
        <v>96</v>
      </c>
      <c r="DB4" s="61">
        <v>97</v>
      </c>
      <c r="DC4" s="61">
        <v>98</v>
      </c>
      <c r="DD4" s="61">
        <v>99</v>
      </c>
      <c r="DE4" s="61">
        <v>100</v>
      </c>
      <c r="DF4" s="61">
        <v>101</v>
      </c>
      <c r="DG4" s="61">
        <v>102</v>
      </c>
      <c r="DH4" s="61">
        <v>103</v>
      </c>
      <c r="DI4" s="61">
        <v>104</v>
      </c>
      <c r="DJ4" s="61">
        <v>105</v>
      </c>
      <c r="DK4" s="61">
        <v>106</v>
      </c>
      <c r="DL4" s="61">
        <v>107</v>
      </c>
      <c r="DM4" s="61">
        <v>108</v>
      </c>
      <c r="DN4" s="61">
        <v>109</v>
      </c>
      <c r="DO4" s="61">
        <v>110</v>
      </c>
      <c r="DP4" s="61">
        <v>111</v>
      </c>
      <c r="DQ4" s="61">
        <v>112</v>
      </c>
      <c r="DR4" s="61">
        <v>113</v>
      </c>
      <c r="DS4" s="61">
        <v>114</v>
      </c>
      <c r="DT4" s="61">
        <v>115</v>
      </c>
      <c r="DU4" s="61">
        <v>116</v>
      </c>
      <c r="DV4" s="61">
        <v>117</v>
      </c>
      <c r="DW4" s="61">
        <v>118</v>
      </c>
      <c r="DX4" s="61">
        <v>119</v>
      </c>
      <c r="DY4" s="61">
        <v>120</v>
      </c>
      <c r="DZ4" s="61">
        <v>121</v>
      </c>
      <c r="EA4" s="61">
        <v>122</v>
      </c>
      <c r="EB4" s="61">
        <v>123</v>
      </c>
      <c r="EC4" s="61">
        <v>124</v>
      </c>
      <c r="ED4" s="61">
        <v>125</v>
      </c>
      <c r="EE4" s="61">
        <v>126</v>
      </c>
      <c r="EF4" s="61">
        <v>127</v>
      </c>
      <c r="EG4" s="61">
        <v>128</v>
      </c>
      <c r="EH4" s="61">
        <v>129</v>
      </c>
      <c r="EI4" s="61">
        <v>130</v>
      </c>
      <c r="EJ4" s="61">
        <v>131</v>
      </c>
      <c r="EK4" s="61">
        <v>132</v>
      </c>
      <c r="EL4" s="61">
        <v>133</v>
      </c>
      <c r="EM4" s="61">
        <v>134</v>
      </c>
      <c r="EN4" s="61">
        <v>135</v>
      </c>
      <c r="EO4" s="61">
        <v>136</v>
      </c>
      <c r="EP4" s="61">
        <v>137</v>
      </c>
      <c r="EQ4" s="61">
        <v>138</v>
      </c>
      <c r="ER4" s="61">
        <v>139</v>
      </c>
      <c r="ES4" s="61">
        <v>140</v>
      </c>
      <c r="ET4" s="61">
        <v>141</v>
      </c>
      <c r="EU4" s="61">
        <v>142</v>
      </c>
      <c r="EV4" s="61">
        <v>143</v>
      </c>
      <c r="EW4" s="61">
        <v>144</v>
      </c>
      <c r="EX4" s="61">
        <v>145</v>
      </c>
      <c r="EY4" s="61">
        <v>146</v>
      </c>
      <c r="EZ4" s="61">
        <v>147</v>
      </c>
      <c r="FA4" s="61">
        <v>148</v>
      </c>
      <c r="FB4" s="61">
        <v>149</v>
      </c>
      <c r="FC4" s="61">
        <v>150</v>
      </c>
      <c r="FD4" s="61">
        <v>151</v>
      </c>
      <c r="FE4" s="61">
        <v>152</v>
      </c>
      <c r="FF4" s="61">
        <v>153</v>
      </c>
      <c r="FG4" s="61">
        <v>154</v>
      </c>
      <c r="FH4" s="61">
        <v>155</v>
      </c>
      <c r="FI4" s="61">
        <v>156</v>
      </c>
      <c r="FJ4" s="61">
        <v>157</v>
      </c>
      <c r="FK4" s="61">
        <v>158</v>
      </c>
      <c r="FL4" s="61">
        <v>159</v>
      </c>
      <c r="FM4" s="61">
        <v>160</v>
      </c>
      <c r="FN4" s="61">
        <v>161</v>
      </c>
      <c r="FO4" s="61">
        <v>162</v>
      </c>
      <c r="FP4" s="61">
        <v>163</v>
      </c>
      <c r="FQ4" s="61">
        <v>164</v>
      </c>
      <c r="FR4" s="61">
        <v>165</v>
      </c>
      <c r="FS4" s="61">
        <v>166</v>
      </c>
      <c r="FT4" s="61">
        <v>167</v>
      </c>
      <c r="FU4" s="61">
        <v>168</v>
      </c>
      <c r="FV4" s="61">
        <v>169</v>
      </c>
      <c r="FW4" s="61">
        <v>170</v>
      </c>
      <c r="FX4" s="61">
        <v>171</v>
      </c>
      <c r="FY4" s="61">
        <v>172</v>
      </c>
      <c r="FZ4" s="61">
        <v>173</v>
      </c>
      <c r="GA4" s="61">
        <v>174</v>
      </c>
      <c r="GB4" s="61">
        <v>175</v>
      </c>
      <c r="GC4" s="61">
        <v>176</v>
      </c>
      <c r="GD4" s="61">
        <v>177</v>
      </c>
      <c r="GE4" s="61">
        <v>178</v>
      </c>
      <c r="GF4" s="61">
        <v>179</v>
      </c>
      <c r="GG4" s="61">
        <v>180</v>
      </c>
    </row>
    <row r="5" spans="2:189" ht="27.75" x14ac:dyDescent="0.25">
      <c r="B5" s="97"/>
      <c r="C5" s="85"/>
      <c r="D5" s="85"/>
      <c r="E5" s="85"/>
      <c r="F5" s="85"/>
      <c r="G5" s="85"/>
      <c r="H5" s="85"/>
      <c r="I5" s="46"/>
      <c r="J5" s="46" t="str">
        <f>TEXT(J6,"DDD")</f>
        <v>Sun</v>
      </c>
      <c r="K5" s="46" t="str">
        <f t="shared" ref="K5:BV5" si="0">TEXT(K6,"DDD")</f>
        <v>Mon</v>
      </c>
      <c r="L5" s="46" t="str">
        <f t="shared" si="0"/>
        <v>Tue</v>
      </c>
      <c r="M5" s="46" t="str">
        <f t="shared" si="0"/>
        <v>Wed</v>
      </c>
      <c r="N5" s="46" t="str">
        <f t="shared" si="0"/>
        <v>Thu</v>
      </c>
      <c r="O5" s="46" t="str">
        <f t="shared" si="0"/>
        <v>Fri</v>
      </c>
      <c r="P5" s="46" t="str">
        <f t="shared" si="0"/>
        <v>Sat</v>
      </c>
      <c r="Q5" s="46" t="str">
        <f t="shared" si="0"/>
        <v>Sun</v>
      </c>
      <c r="R5" s="46" t="str">
        <f t="shared" si="0"/>
        <v>Mon</v>
      </c>
      <c r="S5" s="46" t="str">
        <f t="shared" si="0"/>
        <v>Tue</v>
      </c>
      <c r="T5" s="46" t="str">
        <f t="shared" si="0"/>
        <v>Wed</v>
      </c>
      <c r="U5" s="46" t="str">
        <f t="shared" si="0"/>
        <v>Thu</v>
      </c>
      <c r="V5" s="46" t="str">
        <f t="shared" si="0"/>
        <v>Fri</v>
      </c>
      <c r="W5" s="46" t="str">
        <f t="shared" si="0"/>
        <v>Sat</v>
      </c>
      <c r="X5" s="46" t="str">
        <f t="shared" si="0"/>
        <v>Sun</v>
      </c>
      <c r="Y5" s="46" t="str">
        <f t="shared" si="0"/>
        <v>Mon</v>
      </c>
      <c r="Z5" s="46" t="str">
        <f t="shared" si="0"/>
        <v>Tue</v>
      </c>
      <c r="AA5" s="46" t="str">
        <f t="shared" si="0"/>
        <v>Wed</v>
      </c>
      <c r="AB5" s="46" t="str">
        <f t="shared" si="0"/>
        <v>Thu</v>
      </c>
      <c r="AC5" s="46" t="str">
        <f t="shared" si="0"/>
        <v>Fri</v>
      </c>
      <c r="AD5" s="46" t="str">
        <f t="shared" si="0"/>
        <v>Sat</v>
      </c>
      <c r="AE5" s="46" t="str">
        <f t="shared" si="0"/>
        <v>Sun</v>
      </c>
      <c r="AF5" s="46" t="str">
        <f t="shared" si="0"/>
        <v>Mon</v>
      </c>
      <c r="AG5" s="46" t="str">
        <f t="shared" si="0"/>
        <v>Tue</v>
      </c>
      <c r="AH5" s="46" t="str">
        <f t="shared" si="0"/>
        <v>Wed</v>
      </c>
      <c r="AI5" s="46" t="str">
        <f t="shared" si="0"/>
        <v>Thu</v>
      </c>
      <c r="AJ5" s="46" t="str">
        <f t="shared" si="0"/>
        <v>Fri</v>
      </c>
      <c r="AK5" s="46" t="str">
        <f t="shared" si="0"/>
        <v>Sat</v>
      </c>
      <c r="AL5" s="46" t="str">
        <f t="shared" si="0"/>
        <v>Sun</v>
      </c>
      <c r="AM5" s="46" t="str">
        <f t="shared" si="0"/>
        <v>Mon</v>
      </c>
      <c r="AN5" s="46" t="str">
        <f t="shared" si="0"/>
        <v>Tue</v>
      </c>
      <c r="AO5" s="46" t="str">
        <f t="shared" si="0"/>
        <v>Wed</v>
      </c>
      <c r="AP5" s="46" t="str">
        <f t="shared" si="0"/>
        <v>Thu</v>
      </c>
      <c r="AQ5" s="46" t="str">
        <f t="shared" si="0"/>
        <v>Fri</v>
      </c>
      <c r="AR5" s="46" t="str">
        <f t="shared" si="0"/>
        <v>Sat</v>
      </c>
      <c r="AS5" s="46" t="str">
        <f t="shared" si="0"/>
        <v>Sun</v>
      </c>
      <c r="AT5" s="46" t="str">
        <f t="shared" si="0"/>
        <v>Mon</v>
      </c>
      <c r="AU5" s="46" t="str">
        <f t="shared" si="0"/>
        <v>Tue</v>
      </c>
      <c r="AV5" s="46" t="str">
        <f t="shared" si="0"/>
        <v>Wed</v>
      </c>
      <c r="AW5" s="46" t="str">
        <f t="shared" si="0"/>
        <v>Thu</v>
      </c>
      <c r="AX5" s="46" t="str">
        <f t="shared" si="0"/>
        <v>Fri</v>
      </c>
      <c r="AY5" s="46" t="str">
        <f t="shared" si="0"/>
        <v>Sat</v>
      </c>
      <c r="AZ5" s="46" t="str">
        <f t="shared" si="0"/>
        <v>Sun</v>
      </c>
      <c r="BA5" s="46" t="str">
        <f t="shared" si="0"/>
        <v>Mon</v>
      </c>
      <c r="BB5" s="46" t="str">
        <f t="shared" si="0"/>
        <v>Tue</v>
      </c>
      <c r="BC5" s="46" t="str">
        <f t="shared" si="0"/>
        <v>Wed</v>
      </c>
      <c r="BD5" s="46" t="str">
        <f t="shared" si="0"/>
        <v>Thu</v>
      </c>
      <c r="BE5" s="46" t="str">
        <f t="shared" si="0"/>
        <v>Fri</v>
      </c>
      <c r="BF5" s="46" t="str">
        <f t="shared" si="0"/>
        <v>Sat</v>
      </c>
      <c r="BG5" s="46" t="str">
        <f t="shared" si="0"/>
        <v>Sun</v>
      </c>
      <c r="BH5" s="46" t="str">
        <f t="shared" si="0"/>
        <v>Mon</v>
      </c>
      <c r="BI5" s="46" t="str">
        <f t="shared" si="0"/>
        <v>Tue</v>
      </c>
      <c r="BJ5" s="46" t="str">
        <f t="shared" si="0"/>
        <v>Wed</v>
      </c>
      <c r="BK5" s="46" t="str">
        <f t="shared" si="0"/>
        <v>Thu</v>
      </c>
      <c r="BL5" s="46" t="str">
        <f t="shared" si="0"/>
        <v>Fri</v>
      </c>
      <c r="BM5" s="46" t="str">
        <f t="shared" si="0"/>
        <v>Sat</v>
      </c>
      <c r="BN5" s="46" t="str">
        <f t="shared" si="0"/>
        <v>Sun</v>
      </c>
      <c r="BO5" s="46" t="str">
        <f t="shared" si="0"/>
        <v>Mon</v>
      </c>
      <c r="BP5" s="46" t="str">
        <f t="shared" si="0"/>
        <v>Tue</v>
      </c>
      <c r="BQ5" s="46" t="str">
        <f t="shared" si="0"/>
        <v>Wed</v>
      </c>
      <c r="BR5" s="46" t="str">
        <f t="shared" si="0"/>
        <v>Thu</v>
      </c>
      <c r="BS5" s="46" t="str">
        <f t="shared" si="0"/>
        <v>Fri</v>
      </c>
      <c r="BT5" s="46" t="str">
        <f t="shared" si="0"/>
        <v>Sat</v>
      </c>
      <c r="BU5" s="46" t="str">
        <f t="shared" si="0"/>
        <v>Sun</v>
      </c>
      <c r="BV5" s="46" t="str">
        <f t="shared" si="0"/>
        <v>Mon</v>
      </c>
      <c r="BW5" s="46" t="str">
        <f t="shared" ref="BW5:EH5" si="1">TEXT(BW6,"DDD")</f>
        <v>Tue</v>
      </c>
      <c r="BX5" s="46" t="str">
        <f t="shared" si="1"/>
        <v>Wed</v>
      </c>
      <c r="BY5" s="46" t="str">
        <f t="shared" si="1"/>
        <v>Thu</v>
      </c>
      <c r="BZ5" s="46" t="str">
        <f t="shared" si="1"/>
        <v>Fri</v>
      </c>
      <c r="CA5" s="46" t="str">
        <f t="shared" si="1"/>
        <v>Sat</v>
      </c>
      <c r="CB5" s="46" t="str">
        <f t="shared" si="1"/>
        <v>Sun</v>
      </c>
      <c r="CC5" s="46" t="str">
        <f t="shared" si="1"/>
        <v>Mon</v>
      </c>
      <c r="CD5" s="46" t="str">
        <f t="shared" si="1"/>
        <v>Tue</v>
      </c>
      <c r="CE5" s="46" t="str">
        <f t="shared" si="1"/>
        <v>Wed</v>
      </c>
      <c r="CF5" s="46" t="str">
        <f t="shared" si="1"/>
        <v>Thu</v>
      </c>
      <c r="CG5" s="46" t="str">
        <f t="shared" si="1"/>
        <v>Fri</v>
      </c>
      <c r="CH5" s="46" t="str">
        <f t="shared" si="1"/>
        <v>Sat</v>
      </c>
      <c r="CI5" s="46" t="str">
        <f t="shared" si="1"/>
        <v>Sun</v>
      </c>
      <c r="CJ5" s="46" t="str">
        <f t="shared" si="1"/>
        <v>Mon</v>
      </c>
      <c r="CK5" s="46" t="str">
        <f t="shared" si="1"/>
        <v>Tue</v>
      </c>
      <c r="CL5" s="46" t="str">
        <f t="shared" si="1"/>
        <v>Wed</v>
      </c>
      <c r="CM5" s="46" t="str">
        <f t="shared" si="1"/>
        <v>Thu</v>
      </c>
      <c r="CN5" s="46" t="str">
        <f t="shared" si="1"/>
        <v>Fri</v>
      </c>
      <c r="CO5" s="46" t="str">
        <f t="shared" si="1"/>
        <v>Sat</v>
      </c>
      <c r="CP5" s="46" t="str">
        <f t="shared" si="1"/>
        <v>Sun</v>
      </c>
      <c r="CQ5" s="46" t="str">
        <f t="shared" si="1"/>
        <v>Mon</v>
      </c>
      <c r="CR5" s="46" t="str">
        <f t="shared" si="1"/>
        <v>Tue</v>
      </c>
      <c r="CS5" s="46" t="str">
        <f t="shared" si="1"/>
        <v>Wed</v>
      </c>
      <c r="CT5" s="46" t="str">
        <f t="shared" si="1"/>
        <v>Thu</v>
      </c>
      <c r="CU5" s="46" t="str">
        <f t="shared" si="1"/>
        <v>Fri</v>
      </c>
      <c r="CV5" s="46" t="str">
        <f t="shared" si="1"/>
        <v>Sat</v>
      </c>
      <c r="CW5" s="46" t="str">
        <f t="shared" si="1"/>
        <v>Sun</v>
      </c>
      <c r="CX5" s="46" t="str">
        <f t="shared" si="1"/>
        <v>Mon</v>
      </c>
      <c r="CY5" s="46" t="str">
        <f t="shared" si="1"/>
        <v>Tue</v>
      </c>
      <c r="CZ5" s="46" t="str">
        <f t="shared" si="1"/>
        <v>Wed</v>
      </c>
      <c r="DA5" s="46" t="str">
        <f t="shared" si="1"/>
        <v>Thu</v>
      </c>
      <c r="DB5" s="46" t="str">
        <f t="shared" si="1"/>
        <v>Fri</v>
      </c>
      <c r="DC5" s="46" t="str">
        <f t="shared" si="1"/>
        <v>Sat</v>
      </c>
      <c r="DD5" s="46" t="str">
        <f t="shared" si="1"/>
        <v>Sun</v>
      </c>
      <c r="DE5" s="46" t="str">
        <f t="shared" si="1"/>
        <v>Mon</v>
      </c>
      <c r="DF5" s="46" t="str">
        <f t="shared" si="1"/>
        <v>Tue</v>
      </c>
      <c r="DG5" s="46" t="str">
        <f t="shared" si="1"/>
        <v>Wed</v>
      </c>
      <c r="DH5" s="46" t="str">
        <f t="shared" si="1"/>
        <v>Thu</v>
      </c>
      <c r="DI5" s="46" t="str">
        <f t="shared" si="1"/>
        <v>Fri</v>
      </c>
      <c r="DJ5" s="46" t="str">
        <f t="shared" si="1"/>
        <v>Sat</v>
      </c>
      <c r="DK5" s="46" t="str">
        <f t="shared" si="1"/>
        <v>Sun</v>
      </c>
      <c r="DL5" s="46" t="str">
        <f t="shared" si="1"/>
        <v>Mon</v>
      </c>
      <c r="DM5" s="46" t="str">
        <f t="shared" si="1"/>
        <v>Tue</v>
      </c>
      <c r="DN5" s="46" t="str">
        <f t="shared" si="1"/>
        <v>Wed</v>
      </c>
      <c r="DO5" s="46" t="str">
        <f t="shared" si="1"/>
        <v>Thu</v>
      </c>
      <c r="DP5" s="46" t="str">
        <f t="shared" si="1"/>
        <v>Fri</v>
      </c>
      <c r="DQ5" s="46" t="str">
        <f t="shared" si="1"/>
        <v>Sat</v>
      </c>
      <c r="DR5" s="46" t="str">
        <f t="shared" si="1"/>
        <v>Sun</v>
      </c>
      <c r="DS5" s="46" t="str">
        <f t="shared" si="1"/>
        <v>Mon</v>
      </c>
      <c r="DT5" s="46" t="str">
        <f t="shared" si="1"/>
        <v>Tue</v>
      </c>
      <c r="DU5" s="46" t="str">
        <f t="shared" si="1"/>
        <v>Wed</v>
      </c>
      <c r="DV5" s="46" t="str">
        <f t="shared" si="1"/>
        <v>Thu</v>
      </c>
      <c r="DW5" s="46" t="str">
        <f t="shared" si="1"/>
        <v>Fri</v>
      </c>
      <c r="DX5" s="46" t="str">
        <f t="shared" si="1"/>
        <v>Sat</v>
      </c>
      <c r="DY5" s="46" t="str">
        <f t="shared" si="1"/>
        <v>Sun</v>
      </c>
      <c r="DZ5" s="46" t="str">
        <f t="shared" si="1"/>
        <v>Mon</v>
      </c>
      <c r="EA5" s="46" t="str">
        <f t="shared" si="1"/>
        <v>Tue</v>
      </c>
      <c r="EB5" s="46" t="str">
        <f t="shared" si="1"/>
        <v>Wed</v>
      </c>
      <c r="EC5" s="46" t="str">
        <f t="shared" si="1"/>
        <v>Thu</v>
      </c>
      <c r="ED5" s="46" t="str">
        <f t="shared" si="1"/>
        <v>Fri</v>
      </c>
      <c r="EE5" s="46" t="str">
        <f t="shared" si="1"/>
        <v>Sat</v>
      </c>
      <c r="EF5" s="46" t="str">
        <f t="shared" si="1"/>
        <v>Sun</v>
      </c>
      <c r="EG5" s="46" t="str">
        <f t="shared" si="1"/>
        <v>Mon</v>
      </c>
      <c r="EH5" s="46" t="str">
        <f t="shared" si="1"/>
        <v>Tue</v>
      </c>
      <c r="EI5" s="46" t="str">
        <f t="shared" ref="EI5:GG5" si="2">TEXT(EI6,"DDD")</f>
        <v>Wed</v>
      </c>
      <c r="EJ5" s="46" t="str">
        <f t="shared" si="2"/>
        <v>Thu</v>
      </c>
      <c r="EK5" s="46" t="str">
        <f t="shared" si="2"/>
        <v>Fri</v>
      </c>
      <c r="EL5" s="46" t="str">
        <f t="shared" si="2"/>
        <v>Sat</v>
      </c>
      <c r="EM5" s="46" t="str">
        <f t="shared" si="2"/>
        <v>Sun</v>
      </c>
      <c r="EN5" s="46" t="str">
        <f t="shared" si="2"/>
        <v>Mon</v>
      </c>
      <c r="EO5" s="46" t="str">
        <f t="shared" si="2"/>
        <v>Tue</v>
      </c>
      <c r="EP5" s="46" t="str">
        <f t="shared" si="2"/>
        <v>Wed</v>
      </c>
      <c r="EQ5" s="46" t="str">
        <f t="shared" si="2"/>
        <v>Thu</v>
      </c>
      <c r="ER5" s="46" t="str">
        <f t="shared" si="2"/>
        <v>Fri</v>
      </c>
      <c r="ES5" s="46" t="str">
        <f t="shared" si="2"/>
        <v>Sat</v>
      </c>
      <c r="ET5" s="46" t="str">
        <f t="shared" si="2"/>
        <v>Sun</v>
      </c>
      <c r="EU5" s="46" t="str">
        <f t="shared" si="2"/>
        <v>Mon</v>
      </c>
      <c r="EV5" s="46" t="str">
        <f t="shared" si="2"/>
        <v>Tue</v>
      </c>
      <c r="EW5" s="46" t="str">
        <f t="shared" si="2"/>
        <v>Wed</v>
      </c>
      <c r="EX5" s="46" t="str">
        <f t="shared" si="2"/>
        <v>Thu</v>
      </c>
      <c r="EY5" s="46" t="str">
        <f t="shared" si="2"/>
        <v>Fri</v>
      </c>
      <c r="EZ5" s="46" t="str">
        <f t="shared" si="2"/>
        <v>Sat</v>
      </c>
      <c r="FA5" s="46" t="str">
        <f t="shared" si="2"/>
        <v>Sun</v>
      </c>
      <c r="FB5" s="46" t="str">
        <f t="shared" si="2"/>
        <v>Mon</v>
      </c>
      <c r="FC5" s="46" t="str">
        <f t="shared" si="2"/>
        <v>Tue</v>
      </c>
      <c r="FD5" s="46" t="str">
        <f t="shared" si="2"/>
        <v>Wed</v>
      </c>
      <c r="FE5" s="46" t="str">
        <f t="shared" si="2"/>
        <v>Thu</v>
      </c>
      <c r="FF5" s="46" t="str">
        <f t="shared" si="2"/>
        <v>Fri</v>
      </c>
      <c r="FG5" s="46" t="str">
        <f t="shared" si="2"/>
        <v>Sat</v>
      </c>
      <c r="FH5" s="46" t="str">
        <f t="shared" si="2"/>
        <v>Sun</v>
      </c>
      <c r="FI5" s="46" t="str">
        <f t="shared" si="2"/>
        <v>Mon</v>
      </c>
      <c r="FJ5" s="46" t="str">
        <f t="shared" si="2"/>
        <v>Tue</v>
      </c>
      <c r="FK5" s="46" t="str">
        <f t="shared" si="2"/>
        <v>Wed</v>
      </c>
      <c r="FL5" s="46" t="str">
        <f t="shared" si="2"/>
        <v>Thu</v>
      </c>
      <c r="FM5" s="46" t="str">
        <f t="shared" si="2"/>
        <v>Fri</v>
      </c>
      <c r="FN5" s="46" t="str">
        <f t="shared" si="2"/>
        <v>Sat</v>
      </c>
      <c r="FO5" s="46" t="str">
        <f t="shared" si="2"/>
        <v>Sun</v>
      </c>
      <c r="FP5" s="46" t="str">
        <f t="shared" si="2"/>
        <v>Mon</v>
      </c>
      <c r="FQ5" s="46" t="str">
        <f t="shared" si="2"/>
        <v>Tue</v>
      </c>
      <c r="FR5" s="46" t="str">
        <f t="shared" si="2"/>
        <v>Wed</v>
      </c>
      <c r="FS5" s="46" t="str">
        <f t="shared" si="2"/>
        <v>Thu</v>
      </c>
      <c r="FT5" s="46" t="str">
        <f t="shared" si="2"/>
        <v>Fri</v>
      </c>
      <c r="FU5" s="46" t="str">
        <f t="shared" si="2"/>
        <v>Sat</v>
      </c>
      <c r="FV5" s="46" t="str">
        <f t="shared" si="2"/>
        <v>Sun</v>
      </c>
      <c r="FW5" s="46" t="str">
        <f t="shared" si="2"/>
        <v>Mon</v>
      </c>
      <c r="FX5" s="46" t="str">
        <f t="shared" si="2"/>
        <v>Tue</v>
      </c>
      <c r="FY5" s="46" t="str">
        <f t="shared" si="2"/>
        <v>Wed</v>
      </c>
      <c r="FZ5" s="46" t="str">
        <f t="shared" si="2"/>
        <v>Thu</v>
      </c>
      <c r="GA5" s="46" t="str">
        <f t="shared" si="2"/>
        <v>Fri</v>
      </c>
      <c r="GB5" s="46" t="str">
        <f t="shared" si="2"/>
        <v>Sat</v>
      </c>
      <c r="GC5" s="46" t="str">
        <f t="shared" si="2"/>
        <v>Sun</v>
      </c>
      <c r="GD5" s="46" t="str">
        <f t="shared" si="2"/>
        <v>Mon</v>
      </c>
      <c r="GE5" s="46" t="str">
        <f t="shared" si="2"/>
        <v>Tue</v>
      </c>
      <c r="GF5" s="46" t="str">
        <f t="shared" si="2"/>
        <v>Wed</v>
      </c>
      <c r="GG5" s="46" t="str">
        <f t="shared" si="2"/>
        <v>Thu</v>
      </c>
    </row>
    <row r="6" spans="2:189" s="44" customFormat="1" ht="39" x14ac:dyDescent="0.25">
      <c r="B6" s="98"/>
      <c r="C6" s="86"/>
      <c r="D6" s="86"/>
      <c r="E6" s="86"/>
      <c r="F6" s="86"/>
      <c r="G6" s="86"/>
      <c r="H6" s="86"/>
      <c r="I6" s="43"/>
      <c r="J6" s="46">
        <v>45466</v>
      </c>
      <c r="K6" s="46">
        <v>45467</v>
      </c>
      <c r="L6" s="46">
        <v>45468</v>
      </c>
      <c r="M6" s="46">
        <v>45469</v>
      </c>
      <c r="N6" s="46">
        <v>45470</v>
      </c>
      <c r="O6" s="46">
        <v>45471</v>
      </c>
      <c r="P6" s="46">
        <v>45472</v>
      </c>
      <c r="Q6" s="46">
        <v>45473</v>
      </c>
      <c r="R6" s="46">
        <v>45474</v>
      </c>
      <c r="S6" s="46">
        <v>45475</v>
      </c>
      <c r="T6" s="46">
        <v>45476</v>
      </c>
      <c r="U6" s="46">
        <v>45477</v>
      </c>
      <c r="V6" s="46">
        <v>45478</v>
      </c>
      <c r="W6" s="46">
        <v>45479</v>
      </c>
      <c r="X6" s="46">
        <v>45480</v>
      </c>
      <c r="Y6" s="46">
        <v>45481</v>
      </c>
      <c r="Z6" s="46">
        <v>45482</v>
      </c>
      <c r="AA6" s="46">
        <v>45483</v>
      </c>
      <c r="AB6" s="46">
        <v>45484</v>
      </c>
      <c r="AC6" s="46">
        <v>45485</v>
      </c>
      <c r="AD6" s="46">
        <v>45486</v>
      </c>
      <c r="AE6" s="46">
        <v>45487</v>
      </c>
      <c r="AF6" s="46">
        <v>45488</v>
      </c>
      <c r="AG6" s="46">
        <v>45489</v>
      </c>
      <c r="AH6" s="46">
        <v>45490</v>
      </c>
      <c r="AI6" s="46">
        <v>45491</v>
      </c>
      <c r="AJ6" s="46">
        <v>45492</v>
      </c>
      <c r="AK6" s="46">
        <v>45493</v>
      </c>
      <c r="AL6" s="46">
        <v>45494</v>
      </c>
      <c r="AM6" s="46">
        <v>45495</v>
      </c>
      <c r="AN6" s="46">
        <v>45496</v>
      </c>
      <c r="AO6" s="46">
        <v>45497</v>
      </c>
      <c r="AP6" s="46">
        <v>45498</v>
      </c>
      <c r="AQ6" s="46">
        <v>45499</v>
      </c>
      <c r="AR6" s="46">
        <v>45500</v>
      </c>
      <c r="AS6" s="46">
        <v>45501</v>
      </c>
      <c r="AT6" s="46">
        <v>45502</v>
      </c>
      <c r="AU6" s="46">
        <v>45503</v>
      </c>
      <c r="AV6" s="46">
        <v>45504</v>
      </c>
      <c r="AW6" s="46">
        <v>45505</v>
      </c>
      <c r="AX6" s="46">
        <v>45506</v>
      </c>
      <c r="AY6" s="46">
        <v>45507</v>
      </c>
      <c r="AZ6" s="46">
        <v>45508</v>
      </c>
      <c r="BA6" s="46">
        <v>45509</v>
      </c>
      <c r="BB6" s="46">
        <v>45510</v>
      </c>
      <c r="BC6" s="46">
        <v>45511</v>
      </c>
      <c r="BD6" s="46">
        <v>45512</v>
      </c>
      <c r="BE6" s="46">
        <v>45513</v>
      </c>
      <c r="BF6" s="46">
        <v>45514</v>
      </c>
      <c r="BG6" s="46">
        <v>45515</v>
      </c>
      <c r="BH6" s="46">
        <v>45516</v>
      </c>
      <c r="BI6" s="46">
        <v>45517</v>
      </c>
      <c r="BJ6" s="46">
        <v>45518</v>
      </c>
      <c r="BK6" s="46">
        <v>45519</v>
      </c>
      <c r="BL6" s="46">
        <v>45520</v>
      </c>
      <c r="BM6" s="46">
        <v>45521</v>
      </c>
      <c r="BN6" s="46">
        <v>45522</v>
      </c>
      <c r="BO6" s="46">
        <v>45523</v>
      </c>
      <c r="BP6" s="46">
        <v>45524</v>
      </c>
      <c r="BQ6" s="46">
        <v>45525</v>
      </c>
      <c r="BR6" s="46">
        <v>45526</v>
      </c>
      <c r="BS6" s="46">
        <v>45527</v>
      </c>
      <c r="BT6" s="46">
        <v>45528</v>
      </c>
      <c r="BU6" s="46">
        <v>45529</v>
      </c>
      <c r="BV6" s="46">
        <v>45530</v>
      </c>
      <c r="BW6" s="46">
        <v>45531</v>
      </c>
      <c r="BX6" s="46">
        <v>45532</v>
      </c>
      <c r="BY6" s="46">
        <v>45533</v>
      </c>
      <c r="BZ6" s="46">
        <v>45534</v>
      </c>
      <c r="CA6" s="46">
        <v>45535</v>
      </c>
      <c r="CB6" s="46">
        <v>45536</v>
      </c>
      <c r="CC6" s="46">
        <v>45537</v>
      </c>
      <c r="CD6" s="46">
        <v>45538</v>
      </c>
      <c r="CE6" s="46">
        <v>45539</v>
      </c>
      <c r="CF6" s="46">
        <v>45540</v>
      </c>
      <c r="CG6" s="46">
        <v>45541</v>
      </c>
      <c r="CH6" s="46">
        <v>45542</v>
      </c>
      <c r="CI6" s="46">
        <v>45543</v>
      </c>
      <c r="CJ6" s="46">
        <v>45544</v>
      </c>
      <c r="CK6" s="46">
        <v>45545</v>
      </c>
      <c r="CL6" s="46">
        <v>45546</v>
      </c>
      <c r="CM6" s="46">
        <v>45547</v>
      </c>
      <c r="CN6" s="46">
        <v>45548</v>
      </c>
      <c r="CO6" s="46">
        <v>45549</v>
      </c>
      <c r="CP6" s="46">
        <v>45550</v>
      </c>
      <c r="CQ6" s="46">
        <v>45551</v>
      </c>
      <c r="CR6" s="46">
        <v>45552</v>
      </c>
      <c r="CS6" s="46">
        <v>45553</v>
      </c>
      <c r="CT6" s="46">
        <v>45554</v>
      </c>
      <c r="CU6" s="46">
        <v>45555</v>
      </c>
      <c r="CV6" s="46">
        <v>45556</v>
      </c>
      <c r="CW6" s="46">
        <v>45557</v>
      </c>
      <c r="CX6" s="46">
        <v>45558</v>
      </c>
      <c r="CY6" s="46">
        <v>45559</v>
      </c>
      <c r="CZ6" s="46">
        <v>45560</v>
      </c>
      <c r="DA6" s="46">
        <v>45561</v>
      </c>
      <c r="DB6" s="46">
        <v>45562</v>
      </c>
      <c r="DC6" s="46">
        <v>45563</v>
      </c>
      <c r="DD6" s="46">
        <v>45564</v>
      </c>
      <c r="DE6" s="46">
        <v>45565</v>
      </c>
      <c r="DF6" s="46">
        <v>45566</v>
      </c>
      <c r="DG6" s="46">
        <v>45567</v>
      </c>
      <c r="DH6" s="46">
        <v>45568</v>
      </c>
      <c r="DI6" s="46">
        <v>45569</v>
      </c>
      <c r="DJ6" s="46">
        <v>45570</v>
      </c>
      <c r="DK6" s="46">
        <v>45571</v>
      </c>
      <c r="DL6" s="46">
        <v>45572</v>
      </c>
      <c r="DM6" s="46">
        <v>45573</v>
      </c>
      <c r="DN6" s="46">
        <v>45574</v>
      </c>
      <c r="DO6" s="46">
        <v>45575</v>
      </c>
      <c r="DP6" s="46">
        <v>45576</v>
      </c>
      <c r="DQ6" s="46">
        <v>45577</v>
      </c>
      <c r="DR6" s="46">
        <v>45578</v>
      </c>
      <c r="DS6" s="46">
        <v>45579</v>
      </c>
      <c r="DT6" s="46">
        <v>45580</v>
      </c>
      <c r="DU6" s="46">
        <v>45581</v>
      </c>
      <c r="DV6" s="46">
        <v>45582</v>
      </c>
      <c r="DW6" s="46">
        <v>45583</v>
      </c>
      <c r="DX6" s="46">
        <v>45584</v>
      </c>
      <c r="DY6" s="46">
        <v>45585</v>
      </c>
      <c r="DZ6" s="46">
        <v>45586</v>
      </c>
      <c r="EA6" s="46">
        <v>45587</v>
      </c>
      <c r="EB6" s="46">
        <v>45588</v>
      </c>
      <c r="EC6" s="46">
        <v>45589</v>
      </c>
      <c r="ED6" s="46">
        <v>45590</v>
      </c>
      <c r="EE6" s="46">
        <v>45591</v>
      </c>
      <c r="EF6" s="46">
        <v>45592</v>
      </c>
      <c r="EG6" s="46">
        <v>45593</v>
      </c>
      <c r="EH6" s="46">
        <v>45594</v>
      </c>
      <c r="EI6" s="46">
        <v>45595</v>
      </c>
      <c r="EJ6" s="46">
        <v>45596</v>
      </c>
      <c r="EK6" s="46">
        <v>45597</v>
      </c>
      <c r="EL6" s="46">
        <v>45598</v>
      </c>
      <c r="EM6" s="46">
        <v>45599</v>
      </c>
      <c r="EN6" s="46">
        <v>45600</v>
      </c>
      <c r="EO6" s="46">
        <v>45601</v>
      </c>
      <c r="EP6" s="46">
        <v>45602</v>
      </c>
      <c r="EQ6" s="46">
        <v>45603</v>
      </c>
      <c r="ER6" s="46">
        <v>45604</v>
      </c>
      <c r="ES6" s="46">
        <v>45605</v>
      </c>
      <c r="ET6" s="46">
        <v>45606</v>
      </c>
      <c r="EU6" s="46">
        <v>45607</v>
      </c>
      <c r="EV6" s="46">
        <v>45608</v>
      </c>
      <c r="EW6" s="46">
        <v>45609</v>
      </c>
      <c r="EX6" s="46">
        <v>45610</v>
      </c>
      <c r="EY6" s="46">
        <v>45611</v>
      </c>
      <c r="EZ6" s="46">
        <v>45612</v>
      </c>
      <c r="FA6" s="46">
        <v>45613</v>
      </c>
      <c r="FB6" s="46">
        <v>45614</v>
      </c>
      <c r="FC6" s="46">
        <v>45615</v>
      </c>
      <c r="FD6" s="46">
        <v>45616</v>
      </c>
      <c r="FE6" s="46">
        <v>45617</v>
      </c>
      <c r="FF6" s="46">
        <v>45618</v>
      </c>
      <c r="FG6" s="46">
        <v>45619</v>
      </c>
      <c r="FH6" s="46">
        <v>45620</v>
      </c>
      <c r="FI6" s="46">
        <v>45621</v>
      </c>
      <c r="FJ6" s="46">
        <v>45622</v>
      </c>
      <c r="FK6" s="46">
        <v>45623</v>
      </c>
      <c r="FL6" s="46">
        <v>45624</v>
      </c>
      <c r="FM6" s="46">
        <v>45625</v>
      </c>
      <c r="FN6" s="46">
        <v>45626</v>
      </c>
      <c r="FO6" s="46">
        <v>45627</v>
      </c>
      <c r="FP6" s="46">
        <v>45628</v>
      </c>
      <c r="FQ6" s="46">
        <v>45629</v>
      </c>
      <c r="FR6" s="46">
        <v>45630</v>
      </c>
      <c r="FS6" s="46">
        <v>45631</v>
      </c>
      <c r="FT6" s="46">
        <v>45632</v>
      </c>
      <c r="FU6" s="46">
        <v>45633</v>
      </c>
      <c r="FV6" s="46">
        <v>45634</v>
      </c>
      <c r="FW6" s="46">
        <v>45635</v>
      </c>
      <c r="FX6" s="46">
        <v>45636</v>
      </c>
      <c r="FY6" s="46">
        <v>45637</v>
      </c>
      <c r="FZ6" s="46">
        <v>45638</v>
      </c>
      <c r="GA6" s="46">
        <v>45639</v>
      </c>
      <c r="GB6" s="46">
        <v>45640</v>
      </c>
      <c r="GC6" s="46">
        <v>45641</v>
      </c>
      <c r="GD6" s="46">
        <v>45642</v>
      </c>
      <c r="GE6" s="46">
        <v>45643</v>
      </c>
      <c r="GF6" s="46">
        <v>45644</v>
      </c>
      <c r="GG6" s="46">
        <v>45645</v>
      </c>
    </row>
    <row r="7" spans="2:189" x14ac:dyDescent="0.3">
      <c r="B7" s="16" t="s">
        <v>61</v>
      </c>
      <c r="C7" s="80">
        <v>45466</v>
      </c>
      <c r="D7" s="81">
        <v>1</v>
      </c>
      <c r="E7" s="82">
        <f>C7+D7-1</f>
        <v>45466</v>
      </c>
      <c r="F7" s="24"/>
      <c r="G7" s="24"/>
      <c r="H7" s="24"/>
      <c r="I7" s="24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</row>
    <row r="8" spans="2:189" x14ac:dyDescent="0.3">
      <c r="B8" s="16" t="s">
        <v>80</v>
      </c>
      <c r="C8" s="80">
        <v>45469</v>
      </c>
      <c r="D8" s="81">
        <v>1</v>
      </c>
      <c r="E8" s="82">
        <f t="shared" ref="E8:E39" si="3">C8+D8-1</f>
        <v>45469</v>
      </c>
      <c r="F8" s="24"/>
      <c r="G8" s="24"/>
      <c r="H8" s="24"/>
      <c r="I8" s="24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</row>
    <row r="9" spans="2:189" x14ac:dyDescent="0.3">
      <c r="B9" s="16" t="s">
        <v>81</v>
      </c>
      <c r="C9" s="80">
        <v>45472</v>
      </c>
      <c r="D9" s="81">
        <v>1</v>
      </c>
      <c r="E9" s="82">
        <f t="shared" si="3"/>
        <v>45472</v>
      </c>
      <c r="F9" s="24"/>
      <c r="G9" s="24"/>
      <c r="H9" s="24"/>
      <c r="I9" s="24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</row>
    <row r="10" spans="2:189" x14ac:dyDescent="0.3">
      <c r="B10" s="16" t="s">
        <v>71</v>
      </c>
      <c r="C10" s="80">
        <v>45481</v>
      </c>
      <c r="D10" s="81">
        <v>1</v>
      </c>
      <c r="E10" s="82">
        <f t="shared" si="3"/>
        <v>45481</v>
      </c>
      <c r="F10" s="24"/>
      <c r="G10" s="24"/>
      <c r="H10" s="24"/>
      <c r="I10" s="24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</row>
    <row r="11" spans="2:189" s="1" customFormat="1" x14ac:dyDescent="0.3">
      <c r="B11" s="17" t="s">
        <v>62</v>
      </c>
      <c r="C11" s="80">
        <v>45483</v>
      </c>
      <c r="D11" s="83">
        <v>1</v>
      </c>
      <c r="E11" s="82">
        <f t="shared" si="3"/>
        <v>45483</v>
      </c>
      <c r="F11" s="25"/>
      <c r="G11" s="25"/>
      <c r="H11" s="25"/>
      <c r="I11" s="25"/>
    </row>
    <row r="12" spans="2:189" s="1" customFormat="1" x14ac:dyDescent="0.3">
      <c r="B12" s="5" t="s">
        <v>63</v>
      </c>
      <c r="C12" s="78">
        <v>45505</v>
      </c>
      <c r="D12" s="6">
        <v>1</v>
      </c>
      <c r="E12" s="82">
        <f t="shared" si="3"/>
        <v>45505</v>
      </c>
      <c r="F12" s="6"/>
      <c r="G12" s="6"/>
      <c r="H12" s="26"/>
      <c r="I12" s="26"/>
    </row>
    <row r="13" spans="2:189" s="1" customFormat="1" x14ac:dyDescent="0.3">
      <c r="B13" s="5" t="s">
        <v>82</v>
      </c>
      <c r="C13" s="78">
        <v>45524</v>
      </c>
      <c r="D13" s="6">
        <v>1</v>
      </c>
      <c r="E13" s="82">
        <f t="shared" si="3"/>
        <v>45524</v>
      </c>
      <c r="F13" s="6"/>
      <c r="G13" s="6"/>
      <c r="H13" s="26"/>
      <c r="I13" s="26"/>
    </row>
    <row r="14" spans="2:189" s="1" customFormat="1" ht="17.45" customHeight="1" x14ac:dyDescent="0.3">
      <c r="B14" s="18" t="s">
        <v>64</v>
      </c>
      <c r="C14" s="80">
        <v>45540</v>
      </c>
      <c r="D14" s="83">
        <v>1</v>
      </c>
      <c r="E14" s="82">
        <f t="shared" si="3"/>
        <v>45540</v>
      </c>
      <c r="F14" s="25"/>
      <c r="G14" s="25"/>
      <c r="H14" s="25"/>
      <c r="I14" s="25"/>
    </row>
    <row r="15" spans="2:189" s="1" customFormat="1" x14ac:dyDescent="0.3">
      <c r="B15" s="5" t="s">
        <v>65</v>
      </c>
      <c r="C15" s="78">
        <v>45549</v>
      </c>
      <c r="D15" s="6">
        <v>2</v>
      </c>
      <c r="E15" s="82">
        <f t="shared" si="3"/>
        <v>45550</v>
      </c>
      <c r="F15" s="6"/>
      <c r="G15" s="6"/>
      <c r="H15" s="26"/>
      <c r="I15" s="26"/>
    </row>
    <row r="16" spans="2:189" s="1" customFormat="1" x14ac:dyDescent="0.3">
      <c r="B16" s="5" t="s">
        <v>190</v>
      </c>
      <c r="C16" s="78">
        <v>45466</v>
      </c>
      <c r="D16" s="6">
        <v>102</v>
      </c>
      <c r="E16" s="82">
        <f t="shared" si="3"/>
        <v>45567</v>
      </c>
      <c r="F16" s="6"/>
      <c r="G16" s="6"/>
      <c r="H16" s="26"/>
      <c r="I16" s="26"/>
    </row>
    <row r="17" spans="2:9" s="1" customFormat="1" x14ac:dyDescent="0.3">
      <c r="B17" s="5" t="s">
        <v>67</v>
      </c>
      <c r="C17" s="78">
        <v>45568</v>
      </c>
      <c r="D17" s="6">
        <v>7</v>
      </c>
      <c r="E17" s="82">
        <f t="shared" si="3"/>
        <v>45574</v>
      </c>
      <c r="F17" s="6"/>
      <c r="G17" s="6"/>
      <c r="H17" s="26"/>
      <c r="I17" s="26"/>
    </row>
    <row r="18" spans="2:9" s="1" customFormat="1" x14ac:dyDescent="0.3">
      <c r="B18" s="5" t="s">
        <v>68</v>
      </c>
      <c r="C18" s="78">
        <v>45575</v>
      </c>
      <c r="D18" s="6">
        <v>30</v>
      </c>
      <c r="E18" s="82">
        <f t="shared" si="3"/>
        <v>45604</v>
      </c>
      <c r="F18" s="6"/>
      <c r="G18" s="6"/>
      <c r="H18" s="26"/>
      <c r="I18" s="26"/>
    </row>
    <row r="19" spans="2:9" s="1" customFormat="1" x14ac:dyDescent="0.3">
      <c r="B19" s="5" t="s">
        <v>69</v>
      </c>
      <c r="C19" s="78">
        <v>45605</v>
      </c>
      <c r="D19" s="6">
        <v>14</v>
      </c>
      <c r="E19" s="82">
        <f t="shared" si="3"/>
        <v>45618</v>
      </c>
      <c r="F19" s="6"/>
      <c r="G19" s="6"/>
      <c r="H19" s="26"/>
      <c r="I19" s="26"/>
    </row>
    <row r="20" spans="2:9" s="1" customFormat="1" x14ac:dyDescent="0.3">
      <c r="B20" s="5" t="s">
        <v>70</v>
      </c>
      <c r="C20" s="78">
        <v>45619</v>
      </c>
      <c r="D20" s="6">
        <v>1</v>
      </c>
      <c r="E20" s="82">
        <f t="shared" si="3"/>
        <v>45619</v>
      </c>
      <c r="F20" s="6"/>
      <c r="G20" s="6"/>
      <c r="H20" s="26"/>
      <c r="I20" s="26"/>
    </row>
    <row r="21" spans="2:9" s="1" customFormat="1" x14ac:dyDescent="0.3">
      <c r="B21" s="5" t="s">
        <v>22</v>
      </c>
      <c r="C21" s="78">
        <v>45517</v>
      </c>
      <c r="D21" s="6">
        <v>1</v>
      </c>
      <c r="E21" s="82">
        <f t="shared" si="3"/>
        <v>45517</v>
      </c>
      <c r="F21" s="6"/>
      <c r="G21" s="6"/>
      <c r="H21" s="26"/>
      <c r="I21" s="26"/>
    </row>
    <row r="22" spans="2:9" s="1" customFormat="1" x14ac:dyDescent="0.3">
      <c r="B22" s="17" t="s">
        <v>16</v>
      </c>
      <c r="C22" s="78">
        <v>45535</v>
      </c>
      <c r="D22" s="83">
        <v>75</v>
      </c>
      <c r="E22" s="82">
        <f t="shared" si="3"/>
        <v>45609</v>
      </c>
      <c r="F22" s="25"/>
      <c r="G22" s="25"/>
      <c r="H22" s="25"/>
      <c r="I22" s="25"/>
    </row>
    <row r="23" spans="2:9" s="1" customFormat="1" x14ac:dyDescent="0.3">
      <c r="B23" s="11" t="s">
        <v>71</v>
      </c>
      <c r="C23" s="78">
        <v>45530</v>
      </c>
      <c r="D23" s="6">
        <v>1</v>
      </c>
      <c r="E23" s="82">
        <f t="shared" si="3"/>
        <v>45530</v>
      </c>
      <c r="F23" s="6"/>
      <c r="G23" s="6"/>
      <c r="H23" s="26"/>
      <c r="I23" s="26"/>
    </row>
    <row r="24" spans="2:9" s="1" customFormat="1" x14ac:dyDescent="0.3">
      <c r="B24" s="5" t="s">
        <v>72</v>
      </c>
      <c r="C24" s="78">
        <v>45535</v>
      </c>
      <c r="D24" s="6">
        <v>1</v>
      </c>
      <c r="E24" s="82">
        <f t="shared" si="3"/>
        <v>45535</v>
      </c>
      <c r="F24" s="6"/>
      <c r="G24" s="6"/>
      <c r="H24" s="26"/>
      <c r="I24" s="26"/>
    </row>
    <row r="25" spans="2:9" s="1" customFormat="1" x14ac:dyDescent="0.3">
      <c r="B25" s="11" t="s">
        <v>175</v>
      </c>
      <c r="C25" s="78">
        <v>45537</v>
      </c>
      <c r="D25" s="6">
        <v>3</v>
      </c>
      <c r="E25" s="82">
        <f t="shared" si="3"/>
        <v>45539</v>
      </c>
      <c r="F25" s="6"/>
      <c r="G25" s="6"/>
      <c r="H25" s="26"/>
      <c r="I25" s="26"/>
    </row>
    <row r="26" spans="2:9" s="1" customFormat="1" x14ac:dyDescent="0.3">
      <c r="B26" s="5" t="s">
        <v>74</v>
      </c>
      <c r="C26" s="78"/>
      <c r="D26" s="6"/>
      <c r="E26" s="82"/>
      <c r="F26" s="6"/>
      <c r="G26" s="6"/>
      <c r="H26" s="26"/>
      <c r="I26" s="26"/>
    </row>
    <row r="27" spans="2:9" s="1" customFormat="1" x14ac:dyDescent="0.3">
      <c r="B27" s="11" t="s">
        <v>180</v>
      </c>
      <c r="C27" s="78">
        <v>45540</v>
      </c>
      <c r="D27" s="6">
        <v>16</v>
      </c>
      <c r="E27" s="82">
        <f t="shared" si="3"/>
        <v>45555</v>
      </c>
      <c r="F27" s="6"/>
      <c r="G27" s="6"/>
      <c r="H27" s="26"/>
      <c r="I27" s="26"/>
    </row>
    <row r="28" spans="2:9" s="1" customFormat="1" x14ac:dyDescent="0.3">
      <c r="B28" s="11" t="s">
        <v>181</v>
      </c>
      <c r="C28" s="78">
        <v>45540</v>
      </c>
      <c r="D28" s="6">
        <v>16</v>
      </c>
      <c r="E28" s="82">
        <f t="shared" si="3"/>
        <v>45555</v>
      </c>
      <c r="F28" s="6"/>
      <c r="G28" s="6"/>
      <c r="H28" s="26"/>
      <c r="I28" s="26"/>
    </row>
    <row r="29" spans="2:9" s="1" customFormat="1" x14ac:dyDescent="0.3">
      <c r="B29" s="11" t="s">
        <v>182</v>
      </c>
      <c r="C29" s="78">
        <v>45556</v>
      </c>
      <c r="D29" s="6">
        <v>17</v>
      </c>
      <c r="E29" s="82">
        <f t="shared" si="3"/>
        <v>45572</v>
      </c>
      <c r="F29" s="6"/>
      <c r="G29" s="6"/>
      <c r="H29" s="26"/>
      <c r="I29" s="26"/>
    </row>
    <row r="30" spans="2:9" s="1" customFormat="1" x14ac:dyDescent="0.3">
      <c r="B30" s="11" t="s">
        <v>183</v>
      </c>
      <c r="C30" s="78">
        <v>45556</v>
      </c>
      <c r="D30" s="6">
        <v>17</v>
      </c>
      <c r="E30" s="82">
        <f t="shared" si="3"/>
        <v>45572</v>
      </c>
      <c r="F30" s="6"/>
      <c r="G30" s="6"/>
      <c r="H30" s="26"/>
      <c r="I30" s="26"/>
    </row>
    <row r="31" spans="2:9" s="1" customFormat="1" x14ac:dyDescent="0.3">
      <c r="B31" s="11" t="s">
        <v>184</v>
      </c>
      <c r="C31" s="78">
        <v>45573</v>
      </c>
      <c r="D31" s="6">
        <v>10</v>
      </c>
      <c r="E31" s="82">
        <f t="shared" si="3"/>
        <v>45582</v>
      </c>
      <c r="F31" s="6"/>
      <c r="G31" s="6"/>
      <c r="H31" s="26"/>
      <c r="I31" s="26"/>
    </row>
    <row r="32" spans="2:9" s="1" customFormat="1" x14ac:dyDescent="0.3">
      <c r="B32" s="11" t="s">
        <v>185</v>
      </c>
      <c r="C32" s="78">
        <v>45579</v>
      </c>
      <c r="D32" s="6">
        <v>10</v>
      </c>
      <c r="E32" s="82">
        <f t="shared" si="3"/>
        <v>45588</v>
      </c>
      <c r="F32" s="6"/>
      <c r="G32" s="6"/>
      <c r="H32" s="26"/>
      <c r="I32" s="26"/>
    </row>
    <row r="33" spans="2:40" s="1" customFormat="1" x14ac:dyDescent="0.3">
      <c r="B33" s="11" t="s">
        <v>186</v>
      </c>
      <c r="C33" s="78">
        <v>45589</v>
      </c>
      <c r="D33" s="6">
        <v>15</v>
      </c>
      <c r="E33" s="82">
        <f t="shared" si="3"/>
        <v>45603</v>
      </c>
      <c r="F33" s="6"/>
      <c r="G33" s="6"/>
      <c r="H33" s="26"/>
      <c r="I33" s="26"/>
    </row>
    <row r="34" spans="2:40" s="1" customFormat="1" x14ac:dyDescent="0.3">
      <c r="B34" s="11" t="s">
        <v>187</v>
      </c>
      <c r="C34" s="78">
        <v>45550</v>
      </c>
      <c r="D34" s="6">
        <v>1</v>
      </c>
      <c r="E34" s="82">
        <f t="shared" si="3"/>
        <v>45550</v>
      </c>
      <c r="F34" s="6"/>
      <c r="G34" s="6"/>
      <c r="H34" s="26"/>
      <c r="I34" s="26"/>
    </row>
    <row r="35" spans="2:40" s="1" customFormat="1" x14ac:dyDescent="0.3">
      <c r="B35" s="11" t="s">
        <v>188</v>
      </c>
      <c r="C35" s="78">
        <v>45550</v>
      </c>
      <c r="D35" s="6">
        <v>1</v>
      </c>
      <c r="E35" s="82">
        <f t="shared" si="3"/>
        <v>45550</v>
      </c>
      <c r="F35" s="6"/>
      <c r="G35" s="6"/>
      <c r="H35" s="26"/>
      <c r="I35" s="26"/>
    </row>
    <row r="36" spans="2:40" s="1" customFormat="1" x14ac:dyDescent="0.3">
      <c r="B36" s="11" t="s">
        <v>189</v>
      </c>
      <c r="C36" s="78">
        <v>45569</v>
      </c>
      <c r="D36" s="6">
        <v>1</v>
      </c>
      <c r="E36" s="82">
        <f t="shared" si="3"/>
        <v>45569</v>
      </c>
      <c r="F36" s="6"/>
      <c r="G36" s="6"/>
      <c r="H36" s="26"/>
      <c r="I36" s="26"/>
    </row>
    <row r="37" spans="2:40" s="1" customFormat="1" x14ac:dyDescent="0.3">
      <c r="B37" s="11" t="s">
        <v>178</v>
      </c>
      <c r="C37" s="78">
        <v>45557</v>
      </c>
      <c r="D37" s="6">
        <v>4</v>
      </c>
      <c r="E37" s="82">
        <f t="shared" si="3"/>
        <v>45560</v>
      </c>
      <c r="F37" s="6"/>
      <c r="G37" s="6"/>
      <c r="H37" s="26"/>
      <c r="I37" s="26"/>
    </row>
    <row r="38" spans="2:40" s="1" customFormat="1" x14ac:dyDescent="0.3">
      <c r="B38" s="11" t="s">
        <v>179</v>
      </c>
      <c r="C38" s="78">
        <v>45573</v>
      </c>
      <c r="D38" s="6">
        <v>4</v>
      </c>
      <c r="E38" s="82">
        <f t="shared" si="3"/>
        <v>45576</v>
      </c>
      <c r="F38" s="6"/>
      <c r="G38" s="6"/>
      <c r="H38" s="26"/>
      <c r="I38" s="26"/>
    </row>
    <row r="39" spans="2:40" s="1" customFormat="1" x14ac:dyDescent="0.3">
      <c r="B39" s="11" t="s">
        <v>177</v>
      </c>
      <c r="C39" s="78">
        <v>45628</v>
      </c>
      <c r="D39" s="6">
        <v>7</v>
      </c>
      <c r="E39" s="82">
        <f t="shared" si="3"/>
        <v>45634</v>
      </c>
      <c r="F39" s="6"/>
      <c r="G39" s="6"/>
      <c r="H39" s="26"/>
      <c r="I39" s="26"/>
    </row>
    <row r="40" spans="2:40" x14ac:dyDescent="0.3">
      <c r="AE40" s="1"/>
      <c r="AF40" s="1"/>
      <c r="AG40" s="1"/>
      <c r="AH40" s="1"/>
      <c r="AI40" s="1"/>
      <c r="AJ40" s="1"/>
      <c r="AK40" s="1"/>
      <c r="AL40" s="1"/>
      <c r="AM40" s="1"/>
      <c r="AN40" s="1"/>
    </row>
  </sheetData>
  <mergeCells count="12">
    <mergeCell ref="J3:GG3"/>
    <mergeCell ref="E3:E6"/>
    <mergeCell ref="M2:Q2"/>
    <mergeCell ref="S2:V2"/>
    <mergeCell ref="X2:AA2"/>
    <mergeCell ref="AC2:AH2"/>
    <mergeCell ref="H3:H6"/>
    <mergeCell ref="B3:B6"/>
    <mergeCell ref="C3:C6"/>
    <mergeCell ref="D3:D6"/>
    <mergeCell ref="F3:F6"/>
    <mergeCell ref="G3:G6"/>
  </mergeCells>
  <conditionalFormatting sqref="B40:AN40">
    <cfRule type="expression" dxfId="19" priority="2">
      <formula>TRUE</formula>
    </cfRule>
  </conditionalFormatting>
  <conditionalFormatting sqref="I4:GG5 J6:GG6">
    <cfRule type="expression" dxfId="18" priority="1">
      <formula>I$6=period_selected</formula>
    </cfRule>
  </conditionalFormatting>
  <conditionalFormatting sqref="J7:GG39">
    <cfRule type="expression" dxfId="17" priority="3">
      <formula>PercentComplete</formula>
    </cfRule>
    <cfRule type="expression" dxfId="16" priority="4">
      <formula>PercentCompleteBeyond</formula>
    </cfRule>
    <cfRule type="expression" dxfId="15" priority="5">
      <formula>Actual</formula>
    </cfRule>
    <cfRule type="expression" dxfId="14" priority="6">
      <formula>ActualBeyond</formula>
    </cfRule>
    <cfRule type="expression" dxfId="13" priority="7">
      <formula>Plan</formula>
    </cfRule>
    <cfRule type="expression" dxfId="12" priority="8">
      <formula>J$6=period_selected</formula>
    </cfRule>
    <cfRule type="expression" dxfId="11" priority="9">
      <formula>MOD(COLUMN(),2)</formula>
    </cfRule>
    <cfRule type="expression" dxfId="10" priority="10">
      <formula>MOD(COLUMN(),2)=0</formula>
    </cfRule>
  </conditionalFormatting>
  <dataValidations count="14">
    <dataValidation allowBlank="1" showInputMessage="1" showErrorMessage="1" prompt="Enter activity in column B, starting with cell B5_x000a_" sqref="B3:B6" xr:uid="{D47E6492-F40A-43A1-92C0-8E1260B8E75A}"/>
    <dataValidation allowBlank="1" showInputMessage="1" showErrorMessage="1" prompt="Enter plan start period in column C, starting with cell C5" sqref="C3:C6" xr:uid="{99F8758C-93E9-4844-AE0A-817796E1BDA3}"/>
    <dataValidation allowBlank="1" showInputMessage="1" showErrorMessage="1" prompt="Enter plan duration period in column D, starting with cell D5" sqref="D3:E6" xr:uid="{2BBAC9FE-A42E-4931-AF8D-52AE4CCC14EE}"/>
    <dataValidation allowBlank="1" showInputMessage="1" showErrorMessage="1" prompt="Enter actual start period in column E, starting with cell E5" sqref="F3:F6" xr:uid="{117C1FB0-F02B-40C2-A4E7-15A8CECBA396}"/>
    <dataValidation allowBlank="1" showInputMessage="1" showErrorMessage="1" prompt="Enter actual duration period in column F, starting with cell F5" sqref="G3:G6" xr:uid="{33B7C71D-6A41-4B58-B67F-612203322D5A}"/>
    <dataValidation allowBlank="1" showInputMessage="1" showErrorMessage="1" prompt="Enter the percentage of project completed in column G, starting with cell G5" sqref="H3:I6" xr:uid="{650B92B6-CBBC-4C0D-8C83-E63738D6CB95}"/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10DADCAE-D9DD-43C3-B453-8B150F83830F}"/>
    <dataValidation allowBlank="1" showInputMessage="1" showErrorMessage="1" prompt="This legend cell indicates plan duration" sqref="L2" xr:uid="{46202866-6F6B-4F1F-AD78-AA2833877BB6}"/>
    <dataValidation allowBlank="1" showInputMessage="1" showErrorMessage="1" prompt="This legend cell indicates actual duration" sqref="R2" xr:uid="{35E682C6-C842-4E55-98CC-C09AB89E0C9F}"/>
    <dataValidation allowBlank="1" showInputMessage="1" showErrorMessage="1" prompt="This legend cell indicates the percentage of project completed" sqref="W2" xr:uid="{29D9D17C-0792-40B6-8A5F-62A96FB296A2}"/>
    <dataValidation allowBlank="1" showInputMessage="1" showErrorMessage="1" prompt="This legend cell indicates actual duration beyond plan" sqref="AB2" xr:uid="{118AB466-E3D6-43D1-95FA-5478B9EC7287}"/>
    <dataValidation allowBlank="1" showInputMessage="1" showErrorMessage="1" prompt="Periods are charted from 1 to 60 starting from cell H4 to cell BO4 " sqref="J3" xr:uid="{DC0FC1BF-2FA7-42C8-8A77-89B4AB4C8960}"/>
    <dataValidation allowBlank="1" showInputMessage="1" showErrorMessage="1" prompt="Title of the project. Enter a new title in this cell. Highlight a period in H2. Chart legend is in J2 to AI2" sqref="B1" xr:uid="{04082592-90EB-4B21-9B1C-C7FDB778BCD2}"/>
    <dataValidation allowBlank="1" showInputMessage="1" showErrorMessage="1" prompt="Select a period to highlight in H2. A Chart legend is in J2 to AI2" sqref="B2:G2" xr:uid="{041FB82D-B055-40F2-8B0A-12F9F914BDBE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089B5-F8BF-4B87-BA76-955126C12D9E}">
  <dimension ref="A1:AF26"/>
  <sheetViews>
    <sheetView zoomScale="70" zoomScaleNormal="70" workbookViewId="0">
      <selection activeCell="M27" sqref="M27"/>
    </sheetView>
  </sheetViews>
  <sheetFormatPr defaultColWidth="8.875" defaultRowHeight="15" x14ac:dyDescent="0.25"/>
  <cols>
    <col min="1" max="1" width="46.75" style="34" bestFit="1" customWidth="1"/>
    <col min="2" max="29" width="9.5" style="31" customWidth="1"/>
    <col min="30" max="30" width="4.5" style="31" customWidth="1"/>
    <col min="31" max="31" width="20" style="31" bestFit="1" customWidth="1"/>
    <col min="32" max="16384" width="8.875" style="31"/>
  </cols>
  <sheetData>
    <row r="1" spans="1:32" s="28" customFormat="1" ht="31.15" customHeight="1" x14ac:dyDescent="0.25">
      <c r="A1" s="101" t="s">
        <v>33</v>
      </c>
      <c r="B1" s="103" t="s">
        <v>45</v>
      </c>
      <c r="C1" s="103"/>
      <c r="D1" s="103" t="s">
        <v>23</v>
      </c>
      <c r="E1" s="103"/>
      <c r="F1" s="103" t="s">
        <v>47</v>
      </c>
      <c r="G1" s="103"/>
      <c r="H1" s="103" t="s">
        <v>29</v>
      </c>
      <c r="I1" s="103"/>
      <c r="J1" s="103" t="s">
        <v>77</v>
      </c>
      <c r="K1" s="103"/>
      <c r="L1" s="104" t="s">
        <v>30</v>
      </c>
      <c r="M1" s="105"/>
      <c r="N1" s="104" t="s">
        <v>31</v>
      </c>
      <c r="O1" s="105"/>
      <c r="P1" s="103" t="s">
        <v>32</v>
      </c>
      <c r="Q1" s="103"/>
      <c r="R1" s="103" t="s">
        <v>19</v>
      </c>
      <c r="S1" s="103"/>
      <c r="T1" s="103" t="s">
        <v>76</v>
      </c>
      <c r="U1" s="103"/>
      <c r="V1" s="103" t="s">
        <v>34</v>
      </c>
      <c r="W1" s="103"/>
      <c r="X1" s="103" t="s">
        <v>46</v>
      </c>
      <c r="Y1" s="103"/>
      <c r="Z1" s="103" t="s">
        <v>13</v>
      </c>
      <c r="AA1" s="103"/>
      <c r="AB1" s="103" t="s">
        <v>14</v>
      </c>
      <c r="AC1" s="103"/>
      <c r="AE1" s="36" t="s">
        <v>42</v>
      </c>
      <c r="AF1" s="42">
        <v>64</v>
      </c>
    </row>
    <row r="2" spans="1:32" s="28" customFormat="1" ht="21.6" customHeight="1" x14ac:dyDescent="0.25">
      <c r="A2" s="102"/>
      <c r="B2" s="29" t="s">
        <v>20</v>
      </c>
      <c r="C2" s="29" t="s">
        <v>21</v>
      </c>
      <c r="D2" s="29" t="s">
        <v>20</v>
      </c>
      <c r="E2" s="29" t="s">
        <v>21</v>
      </c>
      <c r="F2" s="29" t="s">
        <v>20</v>
      </c>
      <c r="G2" s="29" t="s">
        <v>21</v>
      </c>
      <c r="H2" s="29" t="s">
        <v>20</v>
      </c>
      <c r="I2" s="29" t="s">
        <v>21</v>
      </c>
      <c r="J2" s="29" t="s">
        <v>20</v>
      </c>
      <c r="K2" s="29" t="s">
        <v>21</v>
      </c>
      <c r="L2" s="29" t="s">
        <v>20</v>
      </c>
      <c r="M2" s="29" t="s">
        <v>21</v>
      </c>
      <c r="N2" s="29" t="s">
        <v>20</v>
      </c>
      <c r="O2" s="29" t="s">
        <v>21</v>
      </c>
      <c r="P2" s="29" t="s">
        <v>20</v>
      </c>
      <c r="Q2" s="29" t="s">
        <v>21</v>
      </c>
      <c r="R2" s="29" t="s">
        <v>20</v>
      </c>
      <c r="S2" s="29" t="s">
        <v>21</v>
      </c>
      <c r="T2" s="29" t="s">
        <v>20</v>
      </c>
      <c r="U2" s="29" t="s">
        <v>21</v>
      </c>
      <c r="V2" s="29" t="s">
        <v>20</v>
      </c>
      <c r="W2" s="29" t="s">
        <v>21</v>
      </c>
      <c r="X2" s="29" t="s">
        <v>20</v>
      </c>
      <c r="Y2" s="29" t="s">
        <v>21</v>
      </c>
      <c r="Z2" s="29" t="s">
        <v>20</v>
      </c>
      <c r="AA2" s="29" t="s">
        <v>21</v>
      </c>
      <c r="AB2" s="29" t="s">
        <v>20</v>
      </c>
      <c r="AC2" s="29" t="s">
        <v>21</v>
      </c>
      <c r="AE2" s="35" t="s">
        <v>48</v>
      </c>
      <c r="AF2" s="42">
        <v>10</v>
      </c>
    </row>
    <row r="3" spans="1:32" ht="30.6" customHeight="1" x14ac:dyDescent="0.25">
      <c r="A3" s="30" t="s">
        <v>50</v>
      </c>
      <c r="B3" s="38"/>
      <c r="C3" s="39">
        <f>D3-1</f>
        <v>0</v>
      </c>
      <c r="D3" s="38">
        <f>$AF$3</f>
        <v>1</v>
      </c>
      <c r="E3" s="38">
        <f t="shared" ref="E3:E9" si="0">D3+0</f>
        <v>1</v>
      </c>
      <c r="F3" s="38">
        <f t="shared" ref="F3:H4" si="1">E3+1</f>
        <v>2</v>
      </c>
      <c r="G3" s="38">
        <f t="shared" si="1"/>
        <v>3</v>
      </c>
      <c r="H3" s="38">
        <f t="shared" si="1"/>
        <v>4</v>
      </c>
      <c r="I3" s="38">
        <f>H3+3</f>
        <v>7</v>
      </c>
      <c r="J3" s="38"/>
      <c r="K3" s="38"/>
      <c r="L3" s="38">
        <f>I3+1</f>
        <v>8</v>
      </c>
      <c r="M3" s="38">
        <f>L3+0</f>
        <v>8</v>
      </c>
      <c r="N3" s="38">
        <f>M3+1</f>
        <v>9</v>
      </c>
      <c r="O3" s="38">
        <f>N3</f>
        <v>9</v>
      </c>
      <c r="P3" s="38">
        <f>D3</f>
        <v>1</v>
      </c>
      <c r="Q3" s="38">
        <f>P3+5</f>
        <v>6</v>
      </c>
      <c r="R3" s="38">
        <f>AF2</f>
        <v>10</v>
      </c>
      <c r="S3" s="38">
        <f t="shared" ref="S3:U4" si="2">R3+1</f>
        <v>11</v>
      </c>
      <c r="T3" s="38">
        <f t="shared" si="2"/>
        <v>12</v>
      </c>
      <c r="U3" s="38">
        <f t="shared" si="2"/>
        <v>13</v>
      </c>
      <c r="V3" s="38"/>
      <c r="W3" s="39">
        <f t="shared" ref="W3:W9" si="3">R3-2</f>
        <v>8</v>
      </c>
      <c r="X3" s="40">
        <f>U3</f>
        <v>13</v>
      </c>
      <c r="Y3" s="40">
        <f>X3+7</f>
        <v>20</v>
      </c>
      <c r="Z3" s="40">
        <f>Y3+1</f>
        <v>21</v>
      </c>
      <c r="AA3" s="40">
        <f>Z3</f>
        <v>21</v>
      </c>
      <c r="AB3" s="38">
        <f>U3+1</f>
        <v>14</v>
      </c>
      <c r="AC3" s="38">
        <f>AB3+3</f>
        <v>17</v>
      </c>
      <c r="AE3" s="35" t="s">
        <v>41</v>
      </c>
      <c r="AF3" s="42">
        <v>1</v>
      </c>
    </row>
    <row r="4" spans="1:32" ht="30.6" customHeight="1" x14ac:dyDescent="0.25">
      <c r="A4" s="30" t="s">
        <v>49</v>
      </c>
      <c r="B4" s="38"/>
      <c r="C4" s="39">
        <f t="shared" ref="C4:C13" si="4">D4-1</f>
        <v>0</v>
      </c>
      <c r="D4" s="38">
        <f>$AF$3</f>
        <v>1</v>
      </c>
      <c r="E4" s="38">
        <f t="shared" si="0"/>
        <v>1</v>
      </c>
      <c r="F4" s="38">
        <f t="shared" si="1"/>
        <v>2</v>
      </c>
      <c r="G4" s="38">
        <f t="shared" si="1"/>
        <v>3</v>
      </c>
      <c r="H4" s="38">
        <f t="shared" si="1"/>
        <v>4</v>
      </c>
      <c r="I4" s="38">
        <f>H4+3</f>
        <v>7</v>
      </c>
      <c r="J4" s="38"/>
      <c r="K4" s="38"/>
      <c r="L4" s="38">
        <f>I4+1</f>
        <v>8</v>
      </c>
      <c r="M4" s="38">
        <f>L4+0</f>
        <v>8</v>
      </c>
      <c r="N4" s="38">
        <f>M4+1</f>
        <v>9</v>
      </c>
      <c r="O4" s="38">
        <f>N4</f>
        <v>9</v>
      </c>
      <c r="P4" s="38"/>
      <c r="Q4" s="38"/>
      <c r="R4" s="38">
        <f>AF2</f>
        <v>10</v>
      </c>
      <c r="S4" s="38">
        <f t="shared" si="2"/>
        <v>11</v>
      </c>
      <c r="T4" s="38">
        <f t="shared" si="2"/>
        <v>12</v>
      </c>
      <c r="U4" s="38">
        <f t="shared" si="2"/>
        <v>13</v>
      </c>
      <c r="V4" s="38"/>
      <c r="W4" s="39">
        <f t="shared" si="3"/>
        <v>8</v>
      </c>
      <c r="X4" s="40">
        <f>U4</f>
        <v>13</v>
      </c>
      <c r="Y4" s="40">
        <f t="shared" ref="Y4:Y9" si="5">X4+7</f>
        <v>20</v>
      </c>
      <c r="Z4" s="40"/>
      <c r="AA4" s="40"/>
      <c r="AB4" s="38">
        <f>U4+1</f>
        <v>14</v>
      </c>
      <c r="AC4" s="38">
        <f>AB4+3</f>
        <v>17</v>
      </c>
    </row>
    <row r="5" spans="1:32" ht="30.6" customHeight="1" x14ac:dyDescent="0.25">
      <c r="A5" s="30" t="s">
        <v>27</v>
      </c>
      <c r="B5" s="38"/>
      <c r="C5" s="39">
        <f t="shared" si="4"/>
        <v>12</v>
      </c>
      <c r="D5" s="38">
        <f>T3+1</f>
        <v>13</v>
      </c>
      <c r="E5" s="38">
        <f t="shared" si="0"/>
        <v>13</v>
      </c>
      <c r="F5" s="38">
        <f>E5+1</f>
        <v>14</v>
      </c>
      <c r="G5" s="38">
        <f>F5+3</f>
        <v>17</v>
      </c>
      <c r="H5" s="38">
        <f>G5+1</f>
        <v>18</v>
      </c>
      <c r="I5" s="38">
        <f>H5+3</f>
        <v>21</v>
      </c>
      <c r="J5" s="38"/>
      <c r="K5" s="38"/>
      <c r="L5" s="38">
        <f>I5+1</f>
        <v>22</v>
      </c>
      <c r="M5" s="38">
        <f>L5+1</f>
        <v>23</v>
      </c>
      <c r="N5" s="38">
        <f>M5+1</f>
        <v>24</v>
      </c>
      <c r="O5" s="38">
        <f>N5+0</f>
        <v>24</v>
      </c>
      <c r="P5" s="38">
        <f>F5</f>
        <v>14</v>
      </c>
      <c r="Q5" s="38">
        <f>P5+4</f>
        <v>18</v>
      </c>
      <c r="R5" s="38">
        <f>G5-1</f>
        <v>16</v>
      </c>
      <c r="S5" s="38">
        <f>R5+1</f>
        <v>17</v>
      </c>
      <c r="T5" s="38">
        <f>I5+1</f>
        <v>22</v>
      </c>
      <c r="U5" s="38">
        <f>T5+1</f>
        <v>23</v>
      </c>
      <c r="V5" s="38"/>
      <c r="W5" s="39">
        <f t="shared" si="3"/>
        <v>14</v>
      </c>
      <c r="X5" s="40">
        <f>U5</f>
        <v>23</v>
      </c>
      <c r="Y5" s="40">
        <f t="shared" si="5"/>
        <v>30</v>
      </c>
      <c r="Z5" s="40">
        <f>Y5+1</f>
        <v>31</v>
      </c>
      <c r="AA5" s="40">
        <f>Z5+1</f>
        <v>32</v>
      </c>
      <c r="AB5" s="38">
        <f t="shared" ref="AB5:AB9" si="6">U5+1</f>
        <v>24</v>
      </c>
      <c r="AC5" s="38">
        <f>AB5+3</f>
        <v>27</v>
      </c>
    </row>
    <row r="6" spans="1:32" ht="30.6" customHeight="1" x14ac:dyDescent="0.25">
      <c r="A6" s="30" t="s">
        <v>25</v>
      </c>
      <c r="B6" s="38"/>
      <c r="C6" s="39">
        <f t="shared" si="4"/>
        <v>12</v>
      </c>
      <c r="D6" s="38">
        <f>D5</f>
        <v>13</v>
      </c>
      <c r="E6" s="38">
        <f t="shared" si="0"/>
        <v>13</v>
      </c>
      <c r="F6" s="38">
        <f>E6+1</f>
        <v>14</v>
      </c>
      <c r="G6" s="38">
        <f>F6+3</f>
        <v>17</v>
      </c>
      <c r="H6" s="38">
        <f>G6+1</f>
        <v>18</v>
      </c>
      <c r="I6" s="38">
        <f>H6+4</f>
        <v>22</v>
      </c>
      <c r="J6" s="38">
        <f>I6+1</f>
        <v>23</v>
      </c>
      <c r="K6" s="38">
        <f>J6+2</f>
        <v>25</v>
      </c>
      <c r="L6" s="38">
        <f>I6+1</f>
        <v>23</v>
      </c>
      <c r="M6" s="38">
        <f>L6+1</f>
        <v>24</v>
      </c>
      <c r="N6" s="38">
        <f>M6+1</f>
        <v>25</v>
      </c>
      <c r="O6" s="38">
        <f>N6+0</f>
        <v>25</v>
      </c>
      <c r="P6" s="38">
        <f>F6</f>
        <v>14</v>
      </c>
      <c r="Q6" s="38">
        <f>P6+11</f>
        <v>25</v>
      </c>
      <c r="R6" s="38">
        <f>$AF$1+1</f>
        <v>65</v>
      </c>
      <c r="S6" s="38">
        <f>R6+2</f>
        <v>67</v>
      </c>
      <c r="T6" s="38">
        <f t="shared" ref="T6:U9" si="7">S6+1</f>
        <v>68</v>
      </c>
      <c r="U6" s="38">
        <f t="shared" si="7"/>
        <v>69</v>
      </c>
      <c r="V6" s="38"/>
      <c r="W6" s="39">
        <f t="shared" si="3"/>
        <v>63</v>
      </c>
      <c r="X6" s="40">
        <f t="shared" ref="X6:X9" si="8">K6+1</f>
        <v>26</v>
      </c>
      <c r="Y6" s="40">
        <f t="shared" si="5"/>
        <v>33</v>
      </c>
      <c r="Z6" s="40">
        <f>Y6+1</f>
        <v>34</v>
      </c>
      <c r="AA6" s="40">
        <f t="shared" ref="AA6:AA9" si="9">Z6+1</f>
        <v>35</v>
      </c>
      <c r="AB6" s="38">
        <f t="shared" si="6"/>
        <v>70</v>
      </c>
      <c r="AC6" s="38">
        <f t="shared" ref="AC6:AC9" si="10">AB6+3</f>
        <v>73</v>
      </c>
    </row>
    <row r="7" spans="1:32" ht="30.6" customHeight="1" x14ac:dyDescent="0.25">
      <c r="A7" s="30" t="s">
        <v>39</v>
      </c>
      <c r="B7" s="38"/>
      <c r="C7" s="39">
        <f t="shared" si="4"/>
        <v>25</v>
      </c>
      <c r="D7" s="38">
        <f>Q6+1</f>
        <v>26</v>
      </c>
      <c r="E7" s="38">
        <f t="shared" si="0"/>
        <v>26</v>
      </c>
      <c r="F7" s="38">
        <f>D7</f>
        <v>26</v>
      </c>
      <c r="G7" s="38">
        <f>F7+1</f>
        <v>27</v>
      </c>
      <c r="H7" s="38">
        <f>G7+1</f>
        <v>28</v>
      </c>
      <c r="I7" s="38">
        <f>H7+2</f>
        <v>30</v>
      </c>
      <c r="J7" s="38">
        <f>I7+1</f>
        <v>31</v>
      </c>
      <c r="K7" s="38">
        <f>J7+2</f>
        <v>33</v>
      </c>
      <c r="L7" s="38">
        <f>H7</f>
        <v>28</v>
      </c>
      <c r="M7" s="38">
        <f>L7+2</f>
        <v>30</v>
      </c>
      <c r="N7" s="38">
        <f>L7</f>
        <v>28</v>
      </c>
      <c r="O7" s="38">
        <f>N7+2</f>
        <v>30</v>
      </c>
      <c r="P7" s="38">
        <f>Q5+1</f>
        <v>19</v>
      </c>
      <c r="Q7" s="38">
        <f>P7+11</f>
        <v>30</v>
      </c>
      <c r="R7" s="38">
        <f>$AF$1+1</f>
        <v>65</v>
      </c>
      <c r="S7" s="38">
        <f>R7+2</f>
        <v>67</v>
      </c>
      <c r="T7" s="38">
        <f t="shared" si="7"/>
        <v>68</v>
      </c>
      <c r="U7" s="38">
        <f t="shared" si="7"/>
        <v>69</v>
      </c>
      <c r="V7" s="38"/>
      <c r="W7" s="39">
        <f t="shared" si="3"/>
        <v>63</v>
      </c>
      <c r="X7" s="40">
        <f t="shared" si="8"/>
        <v>34</v>
      </c>
      <c r="Y7" s="40">
        <f t="shared" si="5"/>
        <v>41</v>
      </c>
      <c r="Z7" s="40">
        <f t="shared" ref="Z7:Z9" si="11">Y7+1</f>
        <v>42</v>
      </c>
      <c r="AA7" s="40">
        <f t="shared" si="9"/>
        <v>43</v>
      </c>
      <c r="AB7" s="38">
        <f t="shared" si="6"/>
        <v>70</v>
      </c>
      <c r="AC7" s="38">
        <f t="shared" si="10"/>
        <v>73</v>
      </c>
    </row>
    <row r="8" spans="1:32" ht="30.6" customHeight="1" x14ac:dyDescent="0.25">
      <c r="A8" s="30" t="s">
        <v>26</v>
      </c>
      <c r="B8" s="38"/>
      <c r="C8" s="39">
        <f t="shared" si="4"/>
        <v>30</v>
      </c>
      <c r="D8" s="38">
        <f>Q7+1</f>
        <v>31</v>
      </c>
      <c r="E8" s="38">
        <f t="shared" si="0"/>
        <v>31</v>
      </c>
      <c r="F8" s="38">
        <f>D8</f>
        <v>31</v>
      </c>
      <c r="G8" s="38">
        <f>F8+1</f>
        <v>32</v>
      </c>
      <c r="H8" s="38">
        <f>G8+1</f>
        <v>33</v>
      </c>
      <c r="I8" s="38">
        <f>H8+1</f>
        <v>34</v>
      </c>
      <c r="J8" s="38">
        <f>I8+1</f>
        <v>35</v>
      </c>
      <c r="K8" s="38">
        <f>J8+2</f>
        <v>37</v>
      </c>
      <c r="L8" s="38">
        <f>I8+1</f>
        <v>35</v>
      </c>
      <c r="M8" s="38">
        <f>L8+0</f>
        <v>35</v>
      </c>
      <c r="N8" s="38">
        <f>M8+1</f>
        <v>36</v>
      </c>
      <c r="O8" s="38">
        <f>N8+0</f>
        <v>36</v>
      </c>
      <c r="P8" s="38">
        <f>D8</f>
        <v>31</v>
      </c>
      <c r="Q8" s="38">
        <f>P8+5</f>
        <v>36</v>
      </c>
      <c r="R8" s="38">
        <f>S7+1</f>
        <v>68</v>
      </c>
      <c r="S8" s="38">
        <f>R8+2</f>
        <v>70</v>
      </c>
      <c r="T8" s="38">
        <f t="shared" si="7"/>
        <v>71</v>
      </c>
      <c r="U8" s="38">
        <f t="shared" si="7"/>
        <v>72</v>
      </c>
      <c r="V8" s="38"/>
      <c r="W8" s="39">
        <f t="shared" si="3"/>
        <v>66</v>
      </c>
      <c r="X8" s="40">
        <f t="shared" si="8"/>
        <v>38</v>
      </c>
      <c r="Y8" s="40">
        <f t="shared" si="5"/>
        <v>45</v>
      </c>
      <c r="Z8" s="40">
        <f t="shared" si="11"/>
        <v>46</v>
      </c>
      <c r="AA8" s="40">
        <f t="shared" si="9"/>
        <v>47</v>
      </c>
      <c r="AB8" s="38">
        <f t="shared" si="6"/>
        <v>73</v>
      </c>
      <c r="AC8" s="38">
        <f t="shared" si="10"/>
        <v>76</v>
      </c>
    </row>
    <row r="9" spans="1:32" ht="30.6" customHeight="1" x14ac:dyDescent="0.25">
      <c r="A9" s="30" t="s">
        <v>28</v>
      </c>
      <c r="B9" s="38"/>
      <c r="C9" s="39">
        <f t="shared" si="4"/>
        <v>36</v>
      </c>
      <c r="D9" s="38">
        <f>Q8+1</f>
        <v>37</v>
      </c>
      <c r="E9" s="38">
        <f t="shared" si="0"/>
        <v>37</v>
      </c>
      <c r="F9" s="38">
        <f>E9+1</f>
        <v>38</v>
      </c>
      <c r="G9" s="38">
        <f>F9+4</f>
        <v>42</v>
      </c>
      <c r="H9" s="38">
        <f>G9+1</f>
        <v>43</v>
      </c>
      <c r="I9" s="38">
        <f>H9+3</f>
        <v>46</v>
      </c>
      <c r="J9" s="38">
        <f>I9+1</f>
        <v>47</v>
      </c>
      <c r="K9" s="38">
        <f>J9+2</f>
        <v>49</v>
      </c>
      <c r="L9" s="38">
        <f>I9+1</f>
        <v>47</v>
      </c>
      <c r="M9" s="38">
        <f>L9+1</f>
        <v>48</v>
      </c>
      <c r="N9" s="38">
        <f>L9</f>
        <v>47</v>
      </c>
      <c r="O9" s="38">
        <f>N9+1</f>
        <v>48</v>
      </c>
      <c r="P9" s="38">
        <f>D9</f>
        <v>37</v>
      </c>
      <c r="Q9" s="38">
        <f>P9+9</f>
        <v>46</v>
      </c>
      <c r="R9" s="38">
        <f>S8+1</f>
        <v>71</v>
      </c>
      <c r="S9" s="38">
        <f>R9+3</f>
        <v>74</v>
      </c>
      <c r="T9" s="38">
        <f t="shared" si="7"/>
        <v>75</v>
      </c>
      <c r="U9" s="38">
        <f t="shared" si="7"/>
        <v>76</v>
      </c>
      <c r="V9" s="38"/>
      <c r="W9" s="39">
        <f t="shared" si="3"/>
        <v>69</v>
      </c>
      <c r="X9" s="40">
        <f t="shared" si="8"/>
        <v>50</v>
      </c>
      <c r="Y9" s="40">
        <f t="shared" si="5"/>
        <v>57</v>
      </c>
      <c r="Z9" s="40">
        <f t="shared" si="11"/>
        <v>58</v>
      </c>
      <c r="AA9" s="40">
        <f t="shared" si="9"/>
        <v>59</v>
      </c>
      <c r="AB9" s="38">
        <f t="shared" si="6"/>
        <v>77</v>
      </c>
      <c r="AC9" s="38">
        <f t="shared" si="10"/>
        <v>80</v>
      </c>
    </row>
    <row r="10" spans="1:32" ht="30.6" customHeight="1" x14ac:dyDescent="0.25">
      <c r="A10" s="32" t="s">
        <v>37</v>
      </c>
      <c r="B10" s="38"/>
      <c r="C10" s="39">
        <f t="shared" si="4"/>
        <v>-1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9"/>
      <c r="X10" s="40"/>
      <c r="Y10" s="40"/>
      <c r="Z10" s="40"/>
      <c r="AA10" s="40"/>
      <c r="AB10" s="38"/>
      <c r="AC10" s="38"/>
    </row>
    <row r="11" spans="1:32" ht="30.6" customHeight="1" x14ac:dyDescent="0.25">
      <c r="A11" s="32" t="s">
        <v>36</v>
      </c>
      <c r="B11" s="38"/>
      <c r="C11" s="39">
        <f t="shared" si="4"/>
        <v>-1</v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9"/>
      <c r="X11" s="40"/>
      <c r="Y11" s="40"/>
      <c r="Z11" s="40"/>
      <c r="AA11" s="40"/>
      <c r="AB11" s="38"/>
      <c r="AC11" s="38"/>
    </row>
    <row r="12" spans="1:32" ht="30.6" customHeight="1" x14ac:dyDescent="0.25">
      <c r="A12" s="32" t="s">
        <v>35</v>
      </c>
      <c r="B12" s="38"/>
      <c r="C12" s="39">
        <f t="shared" si="4"/>
        <v>-1</v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9"/>
      <c r="X12" s="40"/>
      <c r="Y12" s="40"/>
      <c r="Z12" s="40"/>
      <c r="AA12" s="40"/>
      <c r="AB12" s="38"/>
      <c r="AC12" s="38"/>
    </row>
    <row r="13" spans="1:32" ht="30.6" customHeight="1" x14ac:dyDescent="0.25">
      <c r="A13" s="33" t="s">
        <v>38</v>
      </c>
      <c r="B13" s="38"/>
      <c r="C13" s="39">
        <f t="shared" si="4"/>
        <v>-1</v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9"/>
      <c r="X13" s="40"/>
      <c r="Y13" s="40"/>
      <c r="Z13" s="40"/>
      <c r="AA13" s="40"/>
      <c r="AB13" s="38"/>
      <c r="AC13" s="38"/>
    </row>
    <row r="17" spans="1:4" x14ac:dyDescent="0.25">
      <c r="A17" s="34" t="s">
        <v>51</v>
      </c>
      <c r="B17" s="41">
        <v>45530</v>
      </c>
      <c r="C17" s="41">
        <f>DATE!C17</f>
        <v>45530</v>
      </c>
    </row>
    <row r="18" spans="1:4" x14ac:dyDescent="0.25">
      <c r="A18" s="34" t="s">
        <v>52</v>
      </c>
      <c r="C18" s="41">
        <f>DATE!C18</f>
        <v>45533</v>
      </c>
    </row>
    <row r="19" spans="1:4" x14ac:dyDescent="0.25">
      <c r="A19" s="34" t="s">
        <v>53</v>
      </c>
      <c r="C19" s="41">
        <f>DATE!C19</f>
        <v>45535</v>
      </c>
    </row>
    <row r="20" spans="1:4" x14ac:dyDescent="0.25">
      <c r="A20" s="34" t="s">
        <v>54</v>
      </c>
      <c r="C20" s="41">
        <f>DATE!C20</f>
        <v>45531</v>
      </c>
    </row>
    <row r="21" spans="1:4" x14ac:dyDescent="0.25">
      <c r="A21" s="34" t="s">
        <v>55</v>
      </c>
      <c r="C21" s="41">
        <f>DATE!C21</f>
        <v>45536</v>
      </c>
    </row>
    <row r="22" spans="1:4" x14ac:dyDescent="0.25">
      <c r="A22" s="34" t="s">
        <v>56</v>
      </c>
      <c r="C22" s="41">
        <f>DATE!C22</f>
        <v>45549</v>
      </c>
      <c r="D22" s="31">
        <f>C22-$C$26</f>
        <v>9</v>
      </c>
    </row>
    <row r="23" spans="1:4" x14ac:dyDescent="0.25">
      <c r="A23" s="34" t="s">
        <v>57</v>
      </c>
      <c r="C23" s="41">
        <f>DATE!C23</f>
        <v>45619</v>
      </c>
      <c r="D23" s="31">
        <f>C23-$C$26</f>
        <v>79</v>
      </c>
    </row>
    <row r="24" spans="1:4" x14ac:dyDescent="0.25">
      <c r="A24" s="34" t="s">
        <v>58</v>
      </c>
      <c r="C24" s="41">
        <f>DATE!C24</f>
        <v>45536</v>
      </c>
    </row>
    <row r="25" spans="1:4" x14ac:dyDescent="0.25">
      <c r="A25" s="34" t="s">
        <v>59</v>
      </c>
      <c r="C25" s="41">
        <f>DATE!C25</f>
        <v>45538</v>
      </c>
    </row>
    <row r="26" spans="1:4" x14ac:dyDescent="0.25">
      <c r="A26" s="34" t="s">
        <v>60</v>
      </c>
      <c r="C26" s="41">
        <f>DATE!C26</f>
        <v>45540</v>
      </c>
    </row>
  </sheetData>
  <mergeCells count="15">
    <mergeCell ref="A1:A2"/>
    <mergeCell ref="P1:Q1"/>
    <mergeCell ref="Z1:AA1"/>
    <mergeCell ref="V1:W1"/>
    <mergeCell ref="AB1:AC1"/>
    <mergeCell ref="B1:C1"/>
    <mergeCell ref="R1:S1"/>
    <mergeCell ref="N1:O1"/>
    <mergeCell ref="L1:M1"/>
    <mergeCell ref="T1:U1"/>
    <mergeCell ref="H1:I1"/>
    <mergeCell ref="D1:E1"/>
    <mergeCell ref="X1:Y1"/>
    <mergeCell ref="J1:K1"/>
    <mergeCell ref="F1:G1"/>
  </mergeCells>
  <pageMargins left="0.7" right="0.7" top="0.75" bottom="0.75" header="0.3" footer="0.3"/>
  <pageSetup orientation="portrait" r:id="rId1"/>
  <ignoredErrors>
    <ignoredError sqref="G14:U14 G6:H13 I6:U6 I4 V10:AB13 I3 S3:V3 L3:Q3 S4:V4 H5 I5 S5 L4:Q4 L5:Q5 Y3 Y4:AA4 V5 Y5:AB5 V6 X6:AB6 V7 X7:AB7 V8 X8:AB8 V9 X9:AB9 I8:U13 I7:P7 R7:U7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64D95-C4D9-455D-B582-759B1BF2E9CE}">
  <dimension ref="A1:AF26"/>
  <sheetViews>
    <sheetView zoomScale="70" zoomScaleNormal="70" workbookViewId="0">
      <selection activeCell="W3" sqref="W3:W9"/>
    </sheetView>
  </sheetViews>
  <sheetFormatPr defaultColWidth="8.875" defaultRowHeight="15" x14ac:dyDescent="0.25"/>
  <cols>
    <col min="1" max="1" width="46.75" style="34" bestFit="1" customWidth="1"/>
    <col min="2" max="2" width="11" style="31" customWidth="1"/>
    <col min="3" max="3" width="12.625" style="31" bestFit="1" customWidth="1"/>
    <col min="4" max="29" width="11" style="31" customWidth="1"/>
    <col min="30" max="30" width="4.5" style="31" customWidth="1"/>
    <col min="31" max="31" width="20" style="31" bestFit="1" customWidth="1"/>
    <col min="32" max="32" width="9.5" style="31" bestFit="1" customWidth="1"/>
    <col min="33" max="16384" width="8.875" style="31"/>
  </cols>
  <sheetData>
    <row r="1" spans="1:32" s="28" customFormat="1" ht="31.15" customHeight="1" x14ac:dyDescent="0.25">
      <c r="A1" s="101" t="s">
        <v>33</v>
      </c>
      <c r="B1" s="103" t="s">
        <v>45</v>
      </c>
      <c r="C1" s="103"/>
      <c r="D1" s="103" t="s">
        <v>23</v>
      </c>
      <c r="E1" s="103"/>
      <c r="F1" s="103" t="s">
        <v>47</v>
      </c>
      <c r="G1" s="103"/>
      <c r="H1" s="103" t="s">
        <v>29</v>
      </c>
      <c r="I1" s="103"/>
      <c r="J1" s="103" t="s">
        <v>77</v>
      </c>
      <c r="K1" s="103"/>
      <c r="L1" s="104" t="s">
        <v>30</v>
      </c>
      <c r="M1" s="105"/>
      <c r="N1" s="104" t="s">
        <v>31</v>
      </c>
      <c r="O1" s="105"/>
      <c r="P1" s="103" t="s">
        <v>32</v>
      </c>
      <c r="Q1" s="103"/>
      <c r="R1" s="103" t="s">
        <v>19</v>
      </c>
      <c r="S1" s="103"/>
      <c r="T1" s="103" t="s">
        <v>76</v>
      </c>
      <c r="U1" s="103"/>
      <c r="V1" s="103" t="s">
        <v>34</v>
      </c>
      <c r="W1" s="103"/>
      <c r="X1" s="103" t="s">
        <v>46</v>
      </c>
      <c r="Y1" s="103"/>
      <c r="Z1" s="103" t="s">
        <v>13</v>
      </c>
      <c r="AA1" s="103"/>
      <c r="AB1" s="103" t="s">
        <v>14</v>
      </c>
      <c r="AC1" s="103"/>
      <c r="AE1" s="36" t="s">
        <v>42</v>
      </c>
      <c r="AF1" s="47">
        <f>C23</f>
        <v>45619</v>
      </c>
    </row>
    <row r="2" spans="1:32" s="28" customFormat="1" ht="21.6" customHeight="1" x14ac:dyDescent="0.25">
      <c r="A2" s="102"/>
      <c r="B2" s="29" t="s">
        <v>20</v>
      </c>
      <c r="C2" s="29" t="s">
        <v>21</v>
      </c>
      <c r="D2" s="29" t="s">
        <v>20</v>
      </c>
      <c r="E2" s="29" t="s">
        <v>21</v>
      </c>
      <c r="F2" s="29" t="s">
        <v>20</v>
      </c>
      <c r="G2" s="29" t="s">
        <v>21</v>
      </c>
      <c r="H2" s="29" t="s">
        <v>20</v>
      </c>
      <c r="I2" s="29" t="s">
        <v>21</v>
      </c>
      <c r="J2" s="29" t="s">
        <v>20</v>
      </c>
      <c r="K2" s="29" t="s">
        <v>21</v>
      </c>
      <c r="L2" s="29" t="s">
        <v>20</v>
      </c>
      <c r="M2" s="29" t="s">
        <v>21</v>
      </c>
      <c r="N2" s="29" t="s">
        <v>20</v>
      </c>
      <c r="O2" s="29" t="s">
        <v>21</v>
      </c>
      <c r="P2" s="29" t="s">
        <v>20</v>
      </c>
      <c r="Q2" s="29" t="s">
        <v>21</v>
      </c>
      <c r="R2" s="29" t="s">
        <v>20</v>
      </c>
      <c r="S2" s="29" t="s">
        <v>21</v>
      </c>
      <c r="T2" s="29" t="s">
        <v>20</v>
      </c>
      <c r="U2" s="29" t="s">
        <v>21</v>
      </c>
      <c r="V2" s="29" t="s">
        <v>20</v>
      </c>
      <c r="W2" s="29" t="s">
        <v>21</v>
      </c>
      <c r="X2" s="29" t="s">
        <v>20</v>
      </c>
      <c r="Y2" s="29" t="s">
        <v>21</v>
      </c>
      <c r="Z2" s="29" t="s">
        <v>20</v>
      </c>
      <c r="AA2" s="29" t="s">
        <v>21</v>
      </c>
      <c r="AB2" s="29" t="s">
        <v>20</v>
      </c>
      <c r="AC2" s="29" t="s">
        <v>21</v>
      </c>
      <c r="AE2" s="35" t="s">
        <v>48</v>
      </c>
      <c r="AF2" s="47">
        <f>C22</f>
        <v>45549</v>
      </c>
    </row>
    <row r="3" spans="1:32" ht="30.6" customHeight="1" x14ac:dyDescent="0.25">
      <c r="A3" s="30" t="s">
        <v>50</v>
      </c>
      <c r="B3" s="49"/>
      <c r="C3" s="48">
        <f>D3-1</f>
        <v>45539</v>
      </c>
      <c r="D3" s="49">
        <f>$AF$3</f>
        <v>45540</v>
      </c>
      <c r="E3" s="49">
        <f t="shared" ref="E3:E9" si="0">D3+0</f>
        <v>45540</v>
      </c>
      <c r="F3" s="49">
        <f t="shared" ref="F3:H4" si="1">E3+1</f>
        <v>45541</v>
      </c>
      <c r="G3" s="49">
        <f t="shared" si="1"/>
        <v>45542</v>
      </c>
      <c r="H3" s="49">
        <f t="shared" si="1"/>
        <v>45543</v>
      </c>
      <c r="I3" s="49">
        <f>H3+3</f>
        <v>45546</v>
      </c>
      <c r="J3" s="49"/>
      <c r="K3" s="49"/>
      <c r="L3" s="49">
        <f>I3+1</f>
        <v>45547</v>
      </c>
      <c r="M3" s="49">
        <f>L3+0</f>
        <v>45547</v>
      </c>
      <c r="N3" s="49">
        <f>M3+1</f>
        <v>45548</v>
      </c>
      <c r="O3" s="49">
        <f>N3</f>
        <v>45548</v>
      </c>
      <c r="P3" s="49">
        <f>D3</f>
        <v>45540</v>
      </c>
      <c r="Q3" s="49">
        <f>P3+5</f>
        <v>45545</v>
      </c>
      <c r="R3" s="49">
        <f>AF2</f>
        <v>45549</v>
      </c>
      <c r="S3" s="49">
        <f t="shared" ref="S3:U4" si="2">R3+1</f>
        <v>45550</v>
      </c>
      <c r="T3" s="49">
        <f t="shared" si="2"/>
        <v>45551</v>
      </c>
      <c r="U3" s="49">
        <f t="shared" si="2"/>
        <v>45552</v>
      </c>
      <c r="V3" s="49"/>
      <c r="W3" s="48">
        <f t="shared" ref="W3:W9" si="3">R3-2</f>
        <v>45547</v>
      </c>
      <c r="X3" s="50">
        <f>U3</f>
        <v>45552</v>
      </c>
      <c r="Y3" s="50">
        <f>X3+7</f>
        <v>45559</v>
      </c>
      <c r="Z3" s="50">
        <f>Y3+1</f>
        <v>45560</v>
      </c>
      <c r="AA3" s="50">
        <f>Z3</f>
        <v>45560</v>
      </c>
      <c r="AB3" s="49">
        <f>U3+1</f>
        <v>45553</v>
      </c>
      <c r="AC3" s="49">
        <f>AB3+3</f>
        <v>45556</v>
      </c>
      <c r="AE3" s="35" t="s">
        <v>41</v>
      </c>
      <c r="AF3" s="47">
        <f>C26</f>
        <v>45540</v>
      </c>
    </row>
    <row r="4" spans="1:32" ht="30.6" customHeight="1" x14ac:dyDescent="0.25">
      <c r="A4" s="30" t="s">
        <v>49</v>
      </c>
      <c r="B4" s="49"/>
      <c r="C4" s="48">
        <f t="shared" ref="C4:C9" si="4">D4-1</f>
        <v>45539</v>
      </c>
      <c r="D4" s="49">
        <f>$AF$3</f>
        <v>45540</v>
      </c>
      <c r="E4" s="49">
        <f t="shared" si="0"/>
        <v>45540</v>
      </c>
      <c r="F4" s="49">
        <f t="shared" si="1"/>
        <v>45541</v>
      </c>
      <c r="G4" s="49">
        <f t="shared" si="1"/>
        <v>45542</v>
      </c>
      <c r="H4" s="49">
        <f t="shared" si="1"/>
        <v>45543</v>
      </c>
      <c r="I4" s="49">
        <f>H4+3</f>
        <v>45546</v>
      </c>
      <c r="J4" s="49"/>
      <c r="K4" s="49"/>
      <c r="L4" s="49">
        <f>I4+1</f>
        <v>45547</v>
      </c>
      <c r="M4" s="49">
        <f>L4+0</f>
        <v>45547</v>
      </c>
      <c r="N4" s="49">
        <f>M4+1</f>
        <v>45548</v>
      </c>
      <c r="O4" s="49">
        <f>N4</f>
        <v>45548</v>
      </c>
      <c r="P4" s="49"/>
      <c r="Q4" s="49"/>
      <c r="R4" s="49">
        <f>AF2</f>
        <v>45549</v>
      </c>
      <c r="S4" s="49">
        <f t="shared" si="2"/>
        <v>45550</v>
      </c>
      <c r="T4" s="49">
        <f t="shared" si="2"/>
        <v>45551</v>
      </c>
      <c r="U4" s="49">
        <f t="shared" si="2"/>
        <v>45552</v>
      </c>
      <c r="V4" s="49"/>
      <c r="W4" s="48">
        <f t="shared" si="3"/>
        <v>45547</v>
      </c>
      <c r="X4" s="50">
        <f>U4</f>
        <v>45552</v>
      </c>
      <c r="Y4" s="50">
        <f t="shared" ref="Y4:Y9" si="5">X4+7</f>
        <v>45559</v>
      </c>
      <c r="Z4" s="50"/>
      <c r="AA4" s="50"/>
      <c r="AB4" s="49">
        <f>U4+1</f>
        <v>45553</v>
      </c>
      <c r="AC4" s="49">
        <f>AB4+3</f>
        <v>45556</v>
      </c>
    </row>
    <row r="5" spans="1:32" ht="30.6" customHeight="1" x14ac:dyDescent="0.25">
      <c r="A5" s="30" t="s">
        <v>27</v>
      </c>
      <c r="B5" s="49"/>
      <c r="C5" s="48">
        <f t="shared" si="4"/>
        <v>45551</v>
      </c>
      <c r="D5" s="49">
        <f>T3+1</f>
        <v>45552</v>
      </c>
      <c r="E5" s="49">
        <f t="shared" si="0"/>
        <v>45552</v>
      </c>
      <c r="F5" s="49">
        <f>E5+1</f>
        <v>45553</v>
      </c>
      <c r="G5" s="49">
        <f>F5+3</f>
        <v>45556</v>
      </c>
      <c r="H5" s="49">
        <f>G5+1</f>
        <v>45557</v>
      </c>
      <c r="I5" s="49">
        <f>H5+3</f>
        <v>45560</v>
      </c>
      <c r="J5" s="49"/>
      <c r="K5" s="49"/>
      <c r="L5" s="49">
        <f>I5+1</f>
        <v>45561</v>
      </c>
      <c r="M5" s="49">
        <f>L5+1</f>
        <v>45562</v>
      </c>
      <c r="N5" s="49">
        <f>M5+1</f>
        <v>45563</v>
      </c>
      <c r="O5" s="49">
        <f>N5+0</f>
        <v>45563</v>
      </c>
      <c r="P5" s="49">
        <f>F5</f>
        <v>45553</v>
      </c>
      <c r="Q5" s="49">
        <f>P5+4</f>
        <v>45557</v>
      </c>
      <c r="R5" s="49">
        <f>G5-1</f>
        <v>45555</v>
      </c>
      <c r="S5" s="49">
        <f>R5+1</f>
        <v>45556</v>
      </c>
      <c r="T5" s="49">
        <f>I5+1</f>
        <v>45561</v>
      </c>
      <c r="U5" s="49">
        <f>T5+1</f>
        <v>45562</v>
      </c>
      <c r="V5" s="49"/>
      <c r="W5" s="48">
        <f t="shared" si="3"/>
        <v>45553</v>
      </c>
      <c r="X5" s="50">
        <f>U5</f>
        <v>45562</v>
      </c>
      <c r="Y5" s="50">
        <f t="shared" si="5"/>
        <v>45569</v>
      </c>
      <c r="Z5" s="50">
        <f>Y5+1</f>
        <v>45570</v>
      </c>
      <c r="AA5" s="50">
        <f>Z5+1</f>
        <v>45571</v>
      </c>
      <c r="AB5" s="49">
        <f t="shared" ref="AB5:AB9" si="6">U5+1</f>
        <v>45563</v>
      </c>
      <c r="AC5" s="49">
        <f>AB5+3</f>
        <v>45566</v>
      </c>
    </row>
    <row r="6" spans="1:32" ht="30.6" customHeight="1" x14ac:dyDescent="0.25">
      <c r="A6" s="30" t="s">
        <v>25</v>
      </c>
      <c r="B6" s="49"/>
      <c r="C6" s="48">
        <f t="shared" si="4"/>
        <v>45551</v>
      </c>
      <c r="D6" s="49">
        <f>D5</f>
        <v>45552</v>
      </c>
      <c r="E6" s="49">
        <f t="shared" si="0"/>
        <v>45552</v>
      </c>
      <c r="F6" s="49">
        <f>E6+1</f>
        <v>45553</v>
      </c>
      <c r="G6" s="49">
        <f>F6+3</f>
        <v>45556</v>
      </c>
      <c r="H6" s="49">
        <f>G6+1</f>
        <v>45557</v>
      </c>
      <c r="I6" s="49">
        <f>H6+4</f>
        <v>45561</v>
      </c>
      <c r="J6" s="49">
        <f>I6+1</f>
        <v>45562</v>
      </c>
      <c r="K6" s="49">
        <f>J6+2</f>
        <v>45564</v>
      </c>
      <c r="L6" s="49">
        <f>I6+1</f>
        <v>45562</v>
      </c>
      <c r="M6" s="49">
        <f>L6+1</f>
        <v>45563</v>
      </c>
      <c r="N6" s="49">
        <f>M6+1</f>
        <v>45564</v>
      </c>
      <c r="O6" s="49">
        <f>N6+0</f>
        <v>45564</v>
      </c>
      <c r="P6" s="49">
        <f>F6</f>
        <v>45553</v>
      </c>
      <c r="Q6" s="49">
        <f>P6+11</f>
        <v>45564</v>
      </c>
      <c r="R6" s="49">
        <f>$AF$1+1</f>
        <v>45620</v>
      </c>
      <c r="S6" s="49">
        <f>R6+2</f>
        <v>45622</v>
      </c>
      <c r="T6" s="49">
        <f t="shared" ref="T6:U9" si="7">S6+1</f>
        <v>45623</v>
      </c>
      <c r="U6" s="49">
        <f t="shared" si="7"/>
        <v>45624</v>
      </c>
      <c r="V6" s="49"/>
      <c r="W6" s="48">
        <f t="shared" si="3"/>
        <v>45618</v>
      </c>
      <c r="X6" s="50">
        <f t="shared" ref="X6:X9" si="8">K6+1</f>
        <v>45565</v>
      </c>
      <c r="Y6" s="50">
        <f t="shared" si="5"/>
        <v>45572</v>
      </c>
      <c r="Z6" s="50">
        <f>Y6+1</f>
        <v>45573</v>
      </c>
      <c r="AA6" s="50">
        <f t="shared" ref="AA6:AA9" si="9">Z6+1</f>
        <v>45574</v>
      </c>
      <c r="AB6" s="49">
        <f t="shared" si="6"/>
        <v>45625</v>
      </c>
      <c r="AC6" s="49">
        <f t="shared" ref="AC6:AC9" si="10">AB6+3</f>
        <v>45628</v>
      </c>
    </row>
    <row r="7" spans="1:32" ht="30.6" customHeight="1" x14ac:dyDescent="0.25">
      <c r="A7" s="30" t="s">
        <v>39</v>
      </c>
      <c r="B7" s="49"/>
      <c r="C7" s="48">
        <f t="shared" si="4"/>
        <v>45564</v>
      </c>
      <c r="D7" s="49">
        <f>Q6+1</f>
        <v>45565</v>
      </c>
      <c r="E7" s="49">
        <f t="shared" si="0"/>
        <v>45565</v>
      </c>
      <c r="F7" s="49">
        <f>D7</f>
        <v>45565</v>
      </c>
      <c r="G7" s="49">
        <f>F7+1</f>
        <v>45566</v>
      </c>
      <c r="H7" s="49">
        <f>G7+1</f>
        <v>45567</v>
      </c>
      <c r="I7" s="49">
        <f>H7+2</f>
        <v>45569</v>
      </c>
      <c r="J7" s="49">
        <f>I7+1</f>
        <v>45570</v>
      </c>
      <c r="K7" s="49">
        <f>J7+2</f>
        <v>45572</v>
      </c>
      <c r="L7" s="49">
        <f>H7</f>
        <v>45567</v>
      </c>
      <c r="M7" s="49">
        <f>L7+2</f>
        <v>45569</v>
      </c>
      <c r="N7" s="49">
        <f>L7</f>
        <v>45567</v>
      </c>
      <c r="O7" s="49">
        <f>N7+2</f>
        <v>45569</v>
      </c>
      <c r="P7" s="49">
        <f>Q5+1</f>
        <v>45558</v>
      </c>
      <c r="Q7" s="49">
        <f>P7+11</f>
        <v>45569</v>
      </c>
      <c r="R7" s="49">
        <f>$AF$1+1</f>
        <v>45620</v>
      </c>
      <c r="S7" s="49">
        <f>R7+2</f>
        <v>45622</v>
      </c>
      <c r="T7" s="49">
        <f t="shared" si="7"/>
        <v>45623</v>
      </c>
      <c r="U7" s="49">
        <f t="shared" si="7"/>
        <v>45624</v>
      </c>
      <c r="V7" s="49"/>
      <c r="W7" s="48">
        <f t="shared" si="3"/>
        <v>45618</v>
      </c>
      <c r="X7" s="50">
        <f t="shared" si="8"/>
        <v>45573</v>
      </c>
      <c r="Y7" s="50">
        <f t="shared" si="5"/>
        <v>45580</v>
      </c>
      <c r="Z7" s="50">
        <f t="shared" ref="Z7:Z9" si="11">Y7+1</f>
        <v>45581</v>
      </c>
      <c r="AA7" s="50">
        <f t="shared" si="9"/>
        <v>45582</v>
      </c>
      <c r="AB7" s="49">
        <f t="shared" si="6"/>
        <v>45625</v>
      </c>
      <c r="AC7" s="49">
        <f t="shared" si="10"/>
        <v>45628</v>
      </c>
    </row>
    <row r="8" spans="1:32" ht="30.6" customHeight="1" x14ac:dyDescent="0.25">
      <c r="A8" s="30" t="s">
        <v>26</v>
      </c>
      <c r="B8" s="49"/>
      <c r="C8" s="48">
        <f t="shared" si="4"/>
        <v>45569</v>
      </c>
      <c r="D8" s="49">
        <f>Q7+1</f>
        <v>45570</v>
      </c>
      <c r="E8" s="49">
        <f t="shared" si="0"/>
        <v>45570</v>
      </c>
      <c r="F8" s="49">
        <f>D8</f>
        <v>45570</v>
      </c>
      <c r="G8" s="49">
        <f>F8+1</f>
        <v>45571</v>
      </c>
      <c r="H8" s="49">
        <f>G8+1</f>
        <v>45572</v>
      </c>
      <c r="I8" s="49">
        <f>H8+1</f>
        <v>45573</v>
      </c>
      <c r="J8" s="49">
        <f>I8+1</f>
        <v>45574</v>
      </c>
      <c r="K8" s="49">
        <f>J8+2</f>
        <v>45576</v>
      </c>
      <c r="L8" s="49">
        <f>I8+1</f>
        <v>45574</v>
      </c>
      <c r="M8" s="49">
        <f>L8+0</f>
        <v>45574</v>
      </c>
      <c r="N8" s="49">
        <f>M8+1</f>
        <v>45575</v>
      </c>
      <c r="O8" s="49">
        <f>N8+0</f>
        <v>45575</v>
      </c>
      <c r="P8" s="49">
        <f>D8</f>
        <v>45570</v>
      </c>
      <c r="Q8" s="49">
        <f>P8+5</f>
        <v>45575</v>
      </c>
      <c r="R8" s="49">
        <f>S7+1</f>
        <v>45623</v>
      </c>
      <c r="S8" s="49">
        <f>R8+2</f>
        <v>45625</v>
      </c>
      <c r="T8" s="49">
        <f t="shared" si="7"/>
        <v>45626</v>
      </c>
      <c r="U8" s="49">
        <f t="shared" si="7"/>
        <v>45627</v>
      </c>
      <c r="V8" s="49"/>
      <c r="W8" s="48">
        <f t="shared" si="3"/>
        <v>45621</v>
      </c>
      <c r="X8" s="50">
        <f t="shared" si="8"/>
        <v>45577</v>
      </c>
      <c r="Y8" s="50">
        <f t="shared" si="5"/>
        <v>45584</v>
      </c>
      <c r="Z8" s="50">
        <f t="shared" si="11"/>
        <v>45585</v>
      </c>
      <c r="AA8" s="50">
        <f t="shared" si="9"/>
        <v>45586</v>
      </c>
      <c r="AB8" s="49">
        <f t="shared" si="6"/>
        <v>45628</v>
      </c>
      <c r="AC8" s="49">
        <f t="shared" si="10"/>
        <v>45631</v>
      </c>
    </row>
    <row r="9" spans="1:32" ht="30.6" customHeight="1" x14ac:dyDescent="0.25">
      <c r="A9" s="30" t="s">
        <v>28</v>
      </c>
      <c r="B9" s="49"/>
      <c r="C9" s="48">
        <f t="shared" si="4"/>
        <v>45575</v>
      </c>
      <c r="D9" s="49">
        <f>Q8+1</f>
        <v>45576</v>
      </c>
      <c r="E9" s="49">
        <f t="shared" si="0"/>
        <v>45576</v>
      </c>
      <c r="F9" s="49">
        <f>E9+1</f>
        <v>45577</v>
      </c>
      <c r="G9" s="49">
        <f>F9+4</f>
        <v>45581</v>
      </c>
      <c r="H9" s="49">
        <f>G9+1</f>
        <v>45582</v>
      </c>
      <c r="I9" s="49">
        <f>H9+3</f>
        <v>45585</v>
      </c>
      <c r="J9" s="49">
        <f>I9+1</f>
        <v>45586</v>
      </c>
      <c r="K9" s="49">
        <f>J9+2</f>
        <v>45588</v>
      </c>
      <c r="L9" s="49">
        <f>I9+1</f>
        <v>45586</v>
      </c>
      <c r="M9" s="49">
        <f>L9+1</f>
        <v>45587</v>
      </c>
      <c r="N9" s="49">
        <f>L9</f>
        <v>45586</v>
      </c>
      <c r="O9" s="49">
        <f>N9+1</f>
        <v>45587</v>
      </c>
      <c r="P9" s="49">
        <f>D9</f>
        <v>45576</v>
      </c>
      <c r="Q9" s="49">
        <f>P9+9</f>
        <v>45585</v>
      </c>
      <c r="R9" s="49">
        <f>S8+1</f>
        <v>45626</v>
      </c>
      <c r="S9" s="49">
        <f>R9+3</f>
        <v>45629</v>
      </c>
      <c r="T9" s="49">
        <f t="shared" si="7"/>
        <v>45630</v>
      </c>
      <c r="U9" s="49">
        <f t="shared" si="7"/>
        <v>45631</v>
      </c>
      <c r="V9" s="49"/>
      <c r="W9" s="48">
        <f t="shared" si="3"/>
        <v>45624</v>
      </c>
      <c r="X9" s="50">
        <f t="shared" si="8"/>
        <v>45589</v>
      </c>
      <c r="Y9" s="50">
        <f t="shared" si="5"/>
        <v>45596</v>
      </c>
      <c r="Z9" s="50">
        <f t="shared" si="11"/>
        <v>45597</v>
      </c>
      <c r="AA9" s="50">
        <f t="shared" si="9"/>
        <v>45598</v>
      </c>
      <c r="AB9" s="49">
        <f t="shared" si="6"/>
        <v>45632</v>
      </c>
      <c r="AC9" s="49">
        <f t="shared" si="10"/>
        <v>45635</v>
      </c>
    </row>
    <row r="10" spans="1:32" ht="30.6" customHeight="1" x14ac:dyDescent="0.25">
      <c r="A10" s="32" t="s">
        <v>37</v>
      </c>
      <c r="B10" s="49"/>
      <c r="C10" s="48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8"/>
      <c r="X10" s="50"/>
      <c r="Y10" s="50"/>
      <c r="Z10" s="50"/>
      <c r="AA10" s="50"/>
      <c r="AB10" s="49"/>
      <c r="AC10" s="49"/>
    </row>
    <row r="11" spans="1:32" ht="30.6" customHeight="1" x14ac:dyDescent="0.25">
      <c r="A11" s="32" t="s">
        <v>36</v>
      </c>
      <c r="B11" s="49"/>
      <c r="C11" s="48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8"/>
      <c r="X11" s="50"/>
      <c r="Y11" s="50"/>
      <c r="Z11" s="50"/>
      <c r="AA11" s="50"/>
      <c r="AB11" s="49"/>
      <c r="AC11" s="49"/>
    </row>
    <row r="12" spans="1:32" ht="30.6" customHeight="1" x14ac:dyDescent="0.25">
      <c r="A12" s="32" t="s">
        <v>35</v>
      </c>
      <c r="B12" s="49"/>
      <c r="C12" s="48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8"/>
      <c r="X12" s="50"/>
      <c r="Y12" s="50"/>
      <c r="Z12" s="50"/>
      <c r="AA12" s="50"/>
      <c r="AB12" s="49"/>
      <c r="AC12" s="49"/>
    </row>
    <row r="13" spans="1:32" ht="30.6" customHeight="1" x14ac:dyDescent="0.25">
      <c r="A13" s="33" t="s">
        <v>38</v>
      </c>
      <c r="B13" s="49"/>
      <c r="C13" s="48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8"/>
      <c r="X13" s="50"/>
      <c r="Y13" s="50"/>
      <c r="Z13" s="50"/>
      <c r="AA13" s="50"/>
      <c r="AB13" s="49"/>
      <c r="AC13" s="49"/>
    </row>
    <row r="16" spans="1:32" x14ac:dyDescent="0.25">
      <c r="J16" s="31" t="s">
        <v>176</v>
      </c>
    </row>
    <row r="17" spans="1:16" x14ac:dyDescent="0.25">
      <c r="A17" s="34" t="s">
        <v>51</v>
      </c>
      <c r="B17" s="41">
        <v>45530</v>
      </c>
      <c r="C17" s="41">
        <v>45530</v>
      </c>
      <c r="H17" s="41">
        <v>45540</v>
      </c>
      <c r="I17" s="41">
        <v>45551</v>
      </c>
      <c r="J17" s="41">
        <v>45556</v>
      </c>
      <c r="K17" s="41">
        <f>J17+4</f>
        <v>45560</v>
      </c>
      <c r="L17" s="41">
        <f>H17</f>
        <v>45540</v>
      </c>
      <c r="M17" s="41">
        <f>I17+4</f>
        <v>45555</v>
      </c>
      <c r="N17" s="31">
        <f>M17-L17</f>
        <v>15</v>
      </c>
      <c r="O17" s="31">
        <f>I17-H17</f>
        <v>11</v>
      </c>
      <c r="P17" s="31">
        <f>L17-$H$17+75</f>
        <v>75</v>
      </c>
    </row>
    <row r="18" spans="1:16" x14ac:dyDescent="0.25">
      <c r="A18" s="34" t="s">
        <v>52</v>
      </c>
      <c r="C18" s="41">
        <v>45533</v>
      </c>
      <c r="H18" s="41">
        <v>45540</v>
      </c>
      <c r="I18" s="41">
        <v>45551</v>
      </c>
      <c r="J18" s="41">
        <v>45556</v>
      </c>
      <c r="K18" s="41">
        <f t="shared" ref="K18:K21" si="12">J18+4</f>
        <v>45560</v>
      </c>
      <c r="L18" s="41">
        <f>H18</f>
        <v>45540</v>
      </c>
      <c r="M18" s="41">
        <f>I18+4</f>
        <v>45555</v>
      </c>
      <c r="N18" s="31">
        <f t="shared" ref="N18:N23" si="13">M18-L18</f>
        <v>15</v>
      </c>
      <c r="O18" s="31">
        <f t="shared" ref="O18:O23" si="14">I18-H18</f>
        <v>11</v>
      </c>
      <c r="P18" s="31">
        <f t="shared" ref="P18:P23" si="15">L18-$H$17+75</f>
        <v>75</v>
      </c>
    </row>
    <row r="19" spans="1:16" x14ac:dyDescent="0.25">
      <c r="A19" s="34" t="s">
        <v>53</v>
      </c>
      <c r="C19" s="41">
        <v>45535</v>
      </c>
      <c r="H19" s="41">
        <v>45552</v>
      </c>
      <c r="I19" s="41">
        <v>45562</v>
      </c>
      <c r="J19" s="41">
        <v>45566</v>
      </c>
      <c r="K19" s="41">
        <f t="shared" si="12"/>
        <v>45570</v>
      </c>
      <c r="L19" s="41">
        <f>H19+4</f>
        <v>45556</v>
      </c>
      <c r="M19" s="41">
        <f>I19+10</f>
        <v>45572</v>
      </c>
      <c r="N19" s="31">
        <f t="shared" si="13"/>
        <v>16</v>
      </c>
      <c r="O19" s="31">
        <f t="shared" si="14"/>
        <v>10</v>
      </c>
      <c r="P19" s="31">
        <f t="shared" si="15"/>
        <v>91</v>
      </c>
    </row>
    <row r="20" spans="1:16" x14ac:dyDescent="0.25">
      <c r="A20" s="54" t="s">
        <v>54</v>
      </c>
      <c r="B20" s="55"/>
      <c r="C20" s="56">
        <v>45531</v>
      </c>
      <c r="H20" s="41">
        <v>45552</v>
      </c>
      <c r="I20" s="41">
        <v>45562</v>
      </c>
      <c r="J20" s="41">
        <v>45628</v>
      </c>
      <c r="K20" s="41">
        <f t="shared" si="12"/>
        <v>45632</v>
      </c>
      <c r="L20" s="41">
        <f>H20+4</f>
        <v>45556</v>
      </c>
      <c r="M20" s="41">
        <f>I20+10</f>
        <v>45572</v>
      </c>
      <c r="N20" s="31">
        <f t="shared" si="13"/>
        <v>16</v>
      </c>
      <c r="O20" s="31">
        <f t="shared" si="14"/>
        <v>10</v>
      </c>
      <c r="P20" s="31">
        <f t="shared" si="15"/>
        <v>91</v>
      </c>
    </row>
    <row r="21" spans="1:16" x14ac:dyDescent="0.25">
      <c r="A21" s="34" t="s">
        <v>55</v>
      </c>
      <c r="C21" s="41">
        <v>45536</v>
      </c>
      <c r="H21" s="41">
        <v>45564</v>
      </c>
      <c r="I21" s="41">
        <v>45569</v>
      </c>
      <c r="J21" s="41">
        <v>45628</v>
      </c>
      <c r="K21" s="41">
        <f t="shared" si="12"/>
        <v>45632</v>
      </c>
      <c r="L21" s="41">
        <f>H21+9</f>
        <v>45573</v>
      </c>
      <c r="M21" s="41">
        <f>I21+13</f>
        <v>45582</v>
      </c>
      <c r="N21" s="31">
        <f t="shared" si="13"/>
        <v>9</v>
      </c>
      <c r="O21" s="31">
        <f t="shared" si="14"/>
        <v>5</v>
      </c>
      <c r="P21" s="31">
        <f t="shared" si="15"/>
        <v>108</v>
      </c>
    </row>
    <row r="22" spans="1:16" x14ac:dyDescent="0.25">
      <c r="A22" s="34" t="s">
        <v>56</v>
      </c>
      <c r="C22" s="41">
        <v>45549</v>
      </c>
      <c r="D22" s="31">
        <f>C22-$C$26</f>
        <v>9</v>
      </c>
      <c r="H22" s="41">
        <v>45570</v>
      </c>
      <c r="I22" s="41">
        <v>45575</v>
      </c>
      <c r="J22" s="41">
        <v>45631</v>
      </c>
      <c r="L22" s="41">
        <f>H22+9</f>
        <v>45579</v>
      </c>
      <c r="M22" s="41">
        <f>I22+13</f>
        <v>45588</v>
      </c>
      <c r="N22" s="31">
        <f t="shared" si="13"/>
        <v>9</v>
      </c>
      <c r="O22" s="31">
        <f t="shared" si="14"/>
        <v>5</v>
      </c>
      <c r="P22" s="31">
        <f t="shared" si="15"/>
        <v>114</v>
      </c>
    </row>
    <row r="23" spans="1:16" x14ac:dyDescent="0.25">
      <c r="A23" s="34" t="s">
        <v>57</v>
      </c>
      <c r="C23" s="41">
        <v>45619</v>
      </c>
      <c r="D23" s="31">
        <f>C23-$C$26</f>
        <v>79</v>
      </c>
      <c r="H23" s="41">
        <v>45576</v>
      </c>
      <c r="I23" s="41">
        <v>45587</v>
      </c>
      <c r="J23" s="41">
        <v>45635</v>
      </c>
      <c r="L23" s="41">
        <f>H23+13</f>
        <v>45589</v>
      </c>
      <c r="M23" s="41">
        <f>I23+16</f>
        <v>45603</v>
      </c>
      <c r="N23" s="31">
        <f t="shared" si="13"/>
        <v>14</v>
      </c>
      <c r="O23" s="31">
        <f t="shared" si="14"/>
        <v>11</v>
      </c>
      <c r="P23" s="31">
        <f t="shared" si="15"/>
        <v>124</v>
      </c>
    </row>
    <row r="24" spans="1:16" x14ac:dyDescent="0.25">
      <c r="A24" s="34" t="s">
        <v>58</v>
      </c>
      <c r="C24" s="41">
        <v>45536</v>
      </c>
    </row>
    <row r="25" spans="1:16" x14ac:dyDescent="0.25">
      <c r="A25" s="34" t="s">
        <v>59</v>
      </c>
      <c r="C25" s="41">
        <f>C24+2</f>
        <v>45538</v>
      </c>
      <c r="N25" s="31">
        <f>M23-L17</f>
        <v>63</v>
      </c>
    </row>
    <row r="26" spans="1:16" x14ac:dyDescent="0.25">
      <c r="A26" s="34" t="s">
        <v>60</v>
      </c>
      <c r="C26" s="41">
        <v>45540</v>
      </c>
    </row>
  </sheetData>
  <mergeCells count="15">
    <mergeCell ref="X1:Y1"/>
    <mergeCell ref="Z1:AA1"/>
    <mergeCell ref="AB1:AC1"/>
    <mergeCell ref="L1:M1"/>
    <mergeCell ref="N1:O1"/>
    <mergeCell ref="P1:Q1"/>
    <mergeCell ref="R1:S1"/>
    <mergeCell ref="T1:U1"/>
    <mergeCell ref="V1:W1"/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EE37-D3F2-424D-9C99-2856FF8CDDDD}">
  <dimension ref="A1:A12"/>
  <sheetViews>
    <sheetView zoomScale="130" zoomScaleNormal="130" workbookViewId="0">
      <selection activeCell="O15" sqref="O15"/>
    </sheetView>
  </sheetViews>
  <sheetFormatPr defaultRowHeight="15" x14ac:dyDescent="0.25"/>
  <cols>
    <col min="1" max="1" width="25.875" style="12" bestFit="1" customWidth="1"/>
  </cols>
  <sheetData>
    <row r="1" spans="1:1" x14ac:dyDescent="0.25">
      <c r="A1" s="13"/>
    </row>
    <row r="2" spans="1:1" x14ac:dyDescent="0.25">
      <c r="A2" s="13"/>
    </row>
    <row r="3" spans="1:1" x14ac:dyDescent="0.25">
      <c r="A3" s="13"/>
    </row>
    <row r="4" spans="1:1" x14ac:dyDescent="0.25">
      <c r="A4" s="13"/>
    </row>
    <row r="5" spans="1:1" x14ac:dyDescent="0.25">
      <c r="A5" s="13"/>
    </row>
    <row r="6" spans="1:1" x14ac:dyDescent="0.25">
      <c r="A6" s="13"/>
    </row>
    <row r="7" spans="1:1" x14ac:dyDescent="0.25">
      <c r="A7" s="13"/>
    </row>
    <row r="8" spans="1:1" x14ac:dyDescent="0.25">
      <c r="A8" s="13"/>
    </row>
    <row r="9" spans="1:1" x14ac:dyDescent="0.25">
      <c r="A9" s="13"/>
    </row>
    <row r="10" spans="1:1" x14ac:dyDescent="0.25">
      <c r="A10" s="13"/>
    </row>
    <row r="11" spans="1:1" x14ac:dyDescent="0.25">
      <c r="A11" s="13"/>
    </row>
    <row r="12" spans="1:1" x14ac:dyDescent="0.25">
      <c r="A12" s="1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CD196-ED0B-4DF2-8558-49992B45FC37}">
  <dimension ref="A1:K23"/>
  <sheetViews>
    <sheetView workbookViewId="0">
      <selection activeCell="G25" sqref="G25"/>
    </sheetView>
  </sheetViews>
  <sheetFormatPr defaultRowHeight="15" x14ac:dyDescent="0.25"/>
  <cols>
    <col min="1" max="1" width="24.625" style="27" customWidth="1"/>
    <col min="2" max="2" width="17.625" style="27" customWidth="1"/>
    <col min="3" max="3" width="45.625" style="27" customWidth="1"/>
    <col min="4" max="11" width="17.625" style="27" customWidth="1"/>
  </cols>
  <sheetData>
    <row r="1" spans="1:3" x14ac:dyDescent="0.25">
      <c r="A1" s="51" t="s">
        <v>83</v>
      </c>
      <c r="C1" s="52" t="s">
        <v>88</v>
      </c>
    </row>
    <row r="2" spans="1:3" x14ac:dyDescent="0.25">
      <c r="A2" s="52" t="s">
        <v>40</v>
      </c>
      <c r="C2" s="52" t="s">
        <v>89</v>
      </c>
    </row>
    <row r="3" spans="1:3" x14ac:dyDescent="0.25">
      <c r="A3" s="52" t="s">
        <v>84</v>
      </c>
      <c r="C3" s="52" t="s">
        <v>90</v>
      </c>
    </row>
    <row r="4" spans="1:3" x14ac:dyDescent="0.25">
      <c r="A4" s="52" t="s">
        <v>85</v>
      </c>
      <c r="C4" s="52" t="s">
        <v>91</v>
      </c>
    </row>
    <row r="5" spans="1:3" x14ac:dyDescent="0.25">
      <c r="A5" s="52" t="s">
        <v>86</v>
      </c>
      <c r="C5" s="52" t="s">
        <v>92</v>
      </c>
    </row>
    <row r="6" spans="1:3" x14ac:dyDescent="0.25">
      <c r="A6" s="52" t="s">
        <v>87</v>
      </c>
      <c r="C6" s="52" t="s">
        <v>93</v>
      </c>
    </row>
    <row r="7" spans="1:3" x14ac:dyDescent="0.25">
      <c r="A7" s="52"/>
      <c r="C7" s="52" t="s">
        <v>94</v>
      </c>
    </row>
    <row r="8" spans="1:3" x14ac:dyDescent="0.25">
      <c r="A8" s="52"/>
      <c r="C8" s="52" t="s">
        <v>95</v>
      </c>
    </row>
    <row r="9" spans="1:3" x14ac:dyDescent="0.25">
      <c r="A9" s="52"/>
      <c r="C9" s="52" t="s">
        <v>96</v>
      </c>
    </row>
    <row r="10" spans="1:3" x14ac:dyDescent="0.25">
      <c r="A10" s="52"/>
      <c r="C10" s="52" t="s">
        <v>97</v>
      </c>
    </row>
    <row r="11" spans="1:3" x14ac:dyDescent="0.25">
      <c r="A11" s="52"/>
      <c r="C11" s="52" t="s">
        <v>98</v>
      </c>
    </row>
    <row r="12" spans="1:3" x14ac:dyDescent="0.25">
      <c r="A12" s="52"/>
      <c r="C12" s="52" t="s">
        <v>99</v>
      </c>
    </row>
    <row r="13" spans="1:3" x14ac:dyDescent="0.25">
      <c r="A13" s="52"/>
      <c r="C13" s="52" t="s">
        <v>100</v>
      </c>
    </row>
    <row r="14" spans="1:3" x14ac:dyDescent="0.25">
      <c r="A14" s="52"/>
      <c r="C14" s="52" t="s">
        <v>101</v>
      </c>
    </row>
    <row r="15" spans="1:3" x14ac:dyDescent="0.25">
      <c r="A15" s="52"/>
      <c r="C15" s="52" t="s">
        <v>102</v>
      </c>
    </row>
    <row r="16" spans="1:3" x14ac:dyDescent="0.25">
      <c r="A16" s="52"/>
      <c r="C16" s="52" t="s">
        <v>103</v>
      </c>
    </row>
    <row r="17" spans="1:3" x14ac:dyDescent="0.25">
      <c r="A17" s="52"/>
      <c r="C17" s="52" t="s">
        <v>104</v>
      </c>
    </row>
    <row r="18" spans="1:3" x14ac:dyDescent="0.25">
      <c r="A18" s="52"/>
      <c r="C18" s="52" t="s">
        <v>105</v>
      </c>
    </row>
    <row r="19" spans="1:3" x14ac:dyDescent="0.25">
      <c r="A19" s="52"/>
      <c r="C19" s="52" t="s">
        <v>106</v>
      </c>
    </row>
    <row r="20" spans="1:3" x14ac:dyDescent="0.25">
      <c r="C20" s="52" t="s">
        <v>107</v>
      </c>
    </row>
    <row r="21" spans="1:3" x14ac:dyDescent="0.25">
      <c r="C21" s="52" t="s">
        <v>108</v>
      </c>
    </row>
    <row r="22" spans="1:3" x14ac:dyDescent="0.25">
      <c r="C22" s="52"/>
    </row>
    <row r="23" spans="1:3" x14ac:dyDescent="0.25">
      <c r="C23" s="52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DEF6A-E635-4F2E-8141-602D98600099}">
  <sheetPr>
    <tabColor theme="7"/>
    <pageSetUpPr fitToPage="1"/>
  </sheetPr>
  <dimension ref="B1:EE45"/>
  <sheetViews>
    <sheetView showGridLines="0" zoomScale="85" zoomScaleNormal="85" zoomScaleSheetLayoutView="80" workbookViewId="0">
      <pane ySplit="6" topLeftCell="A28" activePane="bottomLeft" state="frozen"/>
      <selection activeCell="D1" sqref="D1"/>
      <selection pane="bottomLeft" activeCell="H16" sqref="H16"/>
    </sheetView>
  </sheetViews>
  <sheetFormatPr defaultColWidth="2.75" defaultRowHeight="17.25" x14ac:dyDescent="0.3"/>
  <cols>
    <col min="1" max="1" width="2.625" customWidth="1"/>
    <col min="2" max="2" width="35.75" style="2" customWidth="1"/>
    <col min="3" max="3" width="11.625" style="1" customWidth="1"/>
    <col min="4" max="6" width="11.375" style="1" customWidth="1"/>
    <col min="7" max="7" width="11.375" style="3" customWidth="1"/>
    <col min="8" max="8" width="3.125" style="3" customWidth="1"/>
    <col min="9" max="28" width="3.875" style="1" bestFit="1" customWidth="1"/>
    <col min="29" max="38" width="3.875" bestFit="1" customWidth="1"/>
  </cols>
  <sheetData>
    <row r="1" spans="2:135" ht="54.75" thickBot="1" x14ac:dyDescent="0.85">
      <c r="B1" s="9" t="s">
        <v>197</v>
      </c>
      <c r="C1" s="8"/>
      <c r="D1" s="8"/>
      <c r="E1" s="8"/>
      <c r="F1" s="8"/>
      <c r="G1" s="8"/>
      <c r="H1" s="8"/>
    </row>
    <row r="2" spans="2:135" ht="16.5" thickTop="1" x14ac:dyDescent="0.25">
      <c r="B2" s="10" t="s">
        <v>11</v>
      </c>
      <c r="C2" s="10"/>
      <c r="D2" s="10"/>
      <c r="E2" s="10"/>
      <c r="F2" s="10"/>
      <c r="G2" s="4" t="s">
        <v>3</v>
      </c>
      <c r="H2" s="62"/>
      <c r="I2" s="19">
        <v>1</v>
      </c>
      <c r="K2" s="20"/>
      <c r="L2" s="89" t="s">
        <v>10</v>
      </c>
      <c r="M2" s="90"/>
      <c r="N2" s="90"/>
      <c r="O2" s="90"/>
      <c r="P2" s="91"/>
      <c r="Q2" s="21"/>
      <c r="R2" s="89" t="s">
        <v>9</v>
      </c>
      <c r="S2" s="92"/>
      <c r="T2" s="92"/>
      <c r="U2" s="91"/>
      <c r="V2" s="22"/>
      <c r="W2" s="93" t="s">
        <v>1</v>
      </c>
      <c r="X2" s="94"/>
      <c r="Y2" s="94"/>
      <c r="Z2" s="95"/>
      <c r="AA2" s="23"/>
      <c r="AB2" s="93" t="s">
        <v>2</v>
      </c>
      <c r="AC2" s="94"/>
      <c r="AD2" s="94"/>
      <c r="AE2" s="94"/>
      <c r="AF2" s="94"/>
      <c r="AG2" s="94"/>
    </row>
    <row r="3" spans="2:135" s="7" customFormat="1" ht="15" x14ac:dyDescent="0.25">
      <c r="B3" s="87" t="s">
        <v>0</v>
      </c>
      <c r="C3" s="85" t="s">
        <v>4</v>
      </c>
      <c r="D3" s="85" t="s">
        <v>5</v>
      </c>
      <c r="E3" s="85" t="s">
        <v>6</v>
      </c>
      <c r="F3" s="85" t="s">
        <v>7</v>
      </c>
      <c r="G3" s="84" t="s">
        <v>8</v>
      </c>
      <c r="H3" s="15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4"/>
      <c r="AN3" s="64"/>
      <c r="AO3" s="64"/>
      <c r="AP3" s="64"/>
    </row>
    <row r="4" spans="2:135" ht="15" x14ac:dyDescent="0.25">
      <c r="B4" s="87"/>
      <c r="C4" s="85"/>
      <c r="D4" s="85"/>
      <c r="E4" s="85"/>
      <c r="F4" s="85"/>
      <c r="G4" s="8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</row>
    <row r="5" spans="2:135" ht="21" x14ac:dyDescent="0.25">
      <c r="B5" s="87"/>
      <c r="C5" s="85"/>
      <c r="D5" s="85"/>
      <c r="E5" s="85"/>
      <c r="F5" s="85"/>
      <c r="G5" s="85"/>
      <c r="H5" s="46"/>
      <c r="I5" s="61">
        <v>1</v>
      </c>
      <c r="J5" s="61">
        <v>2</v>
      </c>
      <c r="K5" s="61">
        <v>3</v>
      </c>
      <c r="L5" s="61">
        <v>4</v>
      </c>
      <c r="M5" s="61">
        <v>5</v>
      </c>
      <c r="N5" s="61">
        <v>6</v>
      </c>
      <c r="O5" s="61">
        <v>7</v>
      </c>
      <c r="P5" s="61">
        <v>8</v>
      </c>
      <c r="Q5" s="61">
        <v>9</v>
      </c>
      <c r="R5" s="61">
        <v>10</v>
      </c>
      <c r="S5" s="61">
        <v>11</v>
      </c>
      <c r="T5" s="61">
        <v>12</v>
      </c>
      <c r="U5" s="61">
        <v>13</v>
      </c>
      <c r="V5" s="61">
        <v>14</v>
      </c>
      <c r="W5" s="61">
        <v>15</v>
      </c>
      <c r="X5" s="61">
        <v>16</v>
      </c>
      <c r="Y5" s="61">
        <v>17</v>
      </c>
      <c r="Z5" s="61">
        <v>18</v>
      </c>
      <c r="AA5" s="61">
        <v>19</v>
      </c>
      <c r="AB5" s="61">
        <v>20</v>
      </c>
      <c r="AC5" s="61">
        <v>21</v>
      </c>
      <c r="AD5" s="61">
        <v>22</v>
      </c>
      <c r="AE5" s="61">
        <v>23</v>
      </c>
      <c r="AF5" s="61">
        <v>24</v>
      </c>
      <c r="AG5" s="61">
        <v>25</v>
      </c>
      <c r="AH5" s="61">
        <v>26</v>
      </c>
      <c r="AI5" s="61">
        <v>27</v>
      </c>
      <c r="AJ5" s="61">
        <v>28</v>
      </c>
      <c r="AK5" s="61">
        <v>29</v>
      </c>
      <c r="AL5" s="61">
        <v>30</v>
      </c>
      <c r="AM5" s="61">
        <v>31</v>
      </c>
      <c r="AN5" s="61">
        <v>32</v>
      </c>
      <c r="AO5" s="61">
        <v>33</v>
      </c>
      <c r="AP5" s="61">
        <v>34</v>
      </c>
      <c r="AQ5" s="61">
        <v>35</v>
      </c>
      <c r="AR5" s="61">
        <v>36</v>
      </c>
      <c r="AS5" s="61">
        <v>37</v>
      </c>
      <c r="AT5" s="61">
        <v>38</v>
      </c>
      <c r="AU5" s="61">
        <v>39</v>
      </c>
      <c r="AV5" s="61">
        <v>40</v>
      </c>
      <c r="AW5" s="61">
        <v>41</v>
      </c>
      <c r="AX5" s="61">
        <v>42</v>
      </c>
      <c r="AY5" s="61">
        <v>43</v>
      </c>
      <c r="AZ5" s="61">
        <v>44</v>
      </c>
      <c r="BA5" s="61">
        <v>45</v>
      </c>
      <c r="BB5" s="61">
        <v>46</v>
      </c>
      <c r="BC5" s="61">
        <v>47</v>
      </c>
      <c r="BD5" s="61">
        <v>48</v>
      </c>
      <c r="BE5" s="61">
        <v>49</v>
      </c>
      <c r="BF5" s="61">
        <v>50</v>
      </c>
      <c r="BG5" s="61">
        <v>51</v>
      </c>
      <c r="BH5" s="61">
        <v>52</v>
      </c>
      <c r="BI5" s="61">
        <v>53</v>
      </c>
      <c r="BJ5" s="61">
        <v>54</v>
      </c>
      <c r="BK5" s="61">
        <v>55</v>
      </c>
      <c r="BL5" s="61">
        <v>56</v>
      </c>
      <c r="BM5" s="61">
        <v>57</v>
      </c>
      <c r="BN5" s="61">
        <v>58</v>
      </c>
      <c r="BO5" s="61">
        <v>59</v>
      </c>
      <c r="BP5" s="61">
        <v>60</v>
      </c>
      <c r="BQ5" s="61">
        <v>61</v>
      </c>
      <c r="BR5" s="61">
        <v>62</v>
      </c>
      <c r="BS5" s="61">
        <v>63</v>
      </c>
      <c r="BT5" s="61">
        <v>64</v>
      </c>
      <c r="BU5" s="61">
        <v>65</v>
      </c>
      <c r="BV5" s="61">
        <v>66</v>
      </c>
      <c r="BW5" s="61">
        <v>67</v>
      </c>
      <c r="BX5" s="61">
        <v>68</v>
      </c>
      <c r="BY5" s="61">
        <v>69</v>
      </c>
      <c r="BZ5" s="61">
        <v>70</v>
      </c>
      <c r="CA5" s="61">
        <v>71</v>
      </c>
      <c r="CB5" s="61">
        <v>72</v>
      </c>
      <c r="CC5" s="61">
        <v>73</v>
      </c>
      <c r="CD5" s="61">
        <v>74</v>
      </c>
      <c r="CE5" s="61">
        <v>75</v>
      </c>
      <c r="CF5" s="61">
        <v>76</v>
      </c>
      <c r="CG5" s="61">
        <v>77</v>
      </c>
      <c r="CH5" s="61">
        <v>78</v>
      </c>
      <c r="CI5" s="61">
        <v>79</v>
      </c>
      <c r="CJ5" s="61">
        <v>80</v>
      </c>
      <c r="CK5" s="61">
        <v>81</v>
      </c>
      <c r="CL5" s="61">
        <v>82</v>
      </c>
      <c r="CM5" s="61">
        <v>83</v>
      </c>
      <c r="CN5" s="61">
        <v>84</v>
      </c>
      <c r="CO5" s="61">
        <v>85</v>
      </c>
      <c r="CP5" s="61">
        <v>86</v>
      </c>
      <c r="CQ5" s="61">
        <v>87</v>
      </c>
      <c r="CR5" s="61">
        <v>88</v>
      </c>
      <c r="CS5" s="61">
        <v>89</v>
      </c>
      <c r="CT5" s="61">
        <v>90</v>
      </c>
      <c r="CU5" s="61">
        <v>91</v>
      </c>
      <c r="CV5" s="61">
        <v>92</v>
      </c>
      <c r="CW5" s="61">
        <v>93</v>
      </c>
      <c r="CX5" s="61">
        <v>94</v>
      </c>
      <c r="CY5" s="61">
        <v>95</v>
      </c>
      <c r="CZ5" s="61">
        <v>96</v>
      </c>
      <c r="DA5" s="61">
        <v>97</v>
      </c>
      <c r="DB5" s="61">
        <v>98</v>
      </c>
      <c r="DC5" s="61">
        <v>99</v>
      </c>
      <c r="DD5" s="61">
        <v>100</v>
      </c>
      <c r="DE5" s="61">
        <v>101</v>
      </c>
      <c r="DF5" s="61">
        <v>102</v>
      </c>
      <c r="DG5" s="61">
        <v>103</v>
      </c>
      <c r="DH5" s="61">
        <v>104</v>
      </c>
      <c r="DI5" s="61">
        <v>105</v>
      </c>
      <c r="DJ5" s="61">
        <v>106</v>
      </c>
      <c r="DK5" s="61">
        <v>107</v>
      </c>
      <c r="DL5" s="61">
        <v>108</v>
      </c>
      <c r="DM5" s="61">
        <v>109</v>
      </c>
      <c r="DN5" s="61">
        <v>110</v>
      </c>
      <c r="DO5" s="61">
        <v>111</v>
      </c>
      <c r="DP5" s="61">
        <v>112</v>
      </c>
      <c r="DQ5" s="61">
        <v>113</v>
      </c>
      <c r="DR5" s="61">
        <v>114</v>
      </c>
      <c r="DS5" s="61">
        <v>115</v>
      </c>
      <c r="DT5" s="61">
        <v>116</v>
      </c>
      <c r="DU5" s="61">
        <v>117</v>
      </c>
      <c r="DV5" s="61">
        <v>118</v>
      </c>
      <c r="DW5" s="61">
        <v>119</v>
      </c>
      <c r="DX5" s="61">
        <v>120</v>
      </c>
      <c r="DY5" s="61">
        <v>121</v>
      </c>
      <c r="DZ5" s="61">
        <v>122</v>
      </c>
      <c r="EA5" s="61">
        <v>123</v>
      </c>
      <c r="EB5" s="61">
        <v>124</v>
      </c>
      <c r="EC5" s="61">
        <v>125</v>
      </c>
      <c r="ED5" s="61">
        <v>126</v>
      </c>
      <c r="EE5" s="61">
        <v>127</v>
      </c>
    </row>
    <row r="6" spans="2:135" s="44" customFormat="1" ht="39" x14ac:dyDescent="0.25">
      <c r="B6" s="88"/>
      <c r="C6" s="86"/>
      <c r="D6" s="86"/>
      <c r="E6" s="86"/>
      <c r="F6" s="86"/>
      <c r="G6" s="86"/>
      <c r="H6" s="43"/>
      <c r="I6" s="14">
        <v>45531</v>
      </c>
      <c r="J6" s="14">
        <v>45532</v>
      </c>
      <c r="K6" s="14">
        <v>45533</v>
      </c>
      <c r="L6" s="14">
        <v>45534</v>
      </c>
      <c r="M6" s="14">
        <v>45535</v>
      </c>
      <c r="N6" s="14">
        <v>45536</v>
      </c>
      <c r="O6" s="14">
        <v>45537</v>
      </c>
      <c r="P6" s="14">
        <v>45538</v>
      </c>
      <c r="Q6" s="14">
        <v>45539</v>
      </c>
      <c r="R6" s="14">
        <v>45540</v>
      </c>
      <c r="S6" s="14">
        <v>45541</v>
      </c>
      <c r="T6" s="14">
        <v>45542</v>
      </c>
      <c r="U6" s="14">
        <v>45543</v>
      </c>
      <c r="V6" s="14">
        <v>45544</v>
      </c>
      <c r="W6" s="14">
        <v>45545</v>
      </c>
      <c r="X6" s="14">
        <v>45546</v>
      </c>
      <c r="Y6" s="14">
        <v>45547</v>
      </c>
      <c r="Z6" s="14">
        <v>45548</v>
      </c>
      <c r="AA6" s="14">
        <v>45549</v>
      </c>
      <c r="AB6" s="14">
        <v>45550</v>
      </c>
      <c r="AC6" s="14">
        <v>45551</v>
      </c>
      <c r="AD6" s="14">
        <v>45552</v>
      </c>
      <c r="AE6" s="14">
        <v>45553</v>
      </c>
      <c r="AF6" s="14">
        <v>45554</v>
      </c>
      <c r="AG6" s="14">
        <v>45555</v>
      </c>
      <c r="AH6" s="14">
        <v>45556</v>
      </c>
      <c r="AI6" s="14">
        <v>45557</v>
      </c>
      <c r="AJ6" s="14">
        <v>45558</v>
      </c>
      <c r="AK6" s="14">
        <v>45559</v>
      </c>
      <c r="AL6" s="14">
        <v>45560</v>
      </c>
      <c r="AM6" s="14">
        <v>45561</v>
      </c>
      <c r="AN6" s="14">
        <v>45562</v>
      </c>
      <c r="AO6" s="14">
        <v>45563</v>
      </c>
      <c r="AP6" s="14">
        <v>45564</v>
      </c>
      <c r="AQ6" s="14">
        <v>45565</v>
      </c>
      <c r="AR6" s="14">
        <v>45566</v>
      </c>
      <c r="AS6" s="14">
        <v>45567</v>
      </c>
      <c r="AT6" s="14">
        <v>45568</v>
      </c>
      <c r="AU6" s="14">
        <v>45569</v>
      </c>
      <c r="AV6" s="14">
        <v>45570</v>
      </c>
      <c r="AW6" s="14">
        <v>45571</v>
      </c>
      <c r="AX6" s="14">
        <v>45572</v>
      </c>
      <c r="AY6" s="14">
        <v>45573</v>
      </c>
      <c r="AZ6" s="14">
        <v>45574</v>
      </c>
      <c r="BA6" s="14">
        <v>45575</v>
      </c>
      <c r="BB6" s="14">
        <v>45576</v>
      </c>
      <c r="BC6" s="14">
        <v>45577</v>
      </c>
      <c r="BD6" s="14">
        <v>45578</v>
      </c>
      <c r="BE6" s="14">
        <v>45579</v>
      </c>
      <c r="BF6" s="14">
        <v>45580</v>
      </c>
      <c r="BG6" s="14">
        <v>45581</v>
      </c>
      <c r="BH6" s="14">
        <v>45582</v>
      </c>
      <c r="BI6" s="14">
        <v>45583</v>
      </c>
      <c r="BJ6" s="14">
        <v>45584</v>
      </c>
      <c r="BK6" s="14">
        <v>45585</v>
      </c>
      <c r="BL6" s="14">
        <v>45586</v>
      </c>
      <c r="BM6" s="14">
        <v>45587</v>
      </c>
      <c r="BN6" s="14">
        <v>45588</v>
      </c>
      <c r="BO6" s="14">
        <v>45589</v>
      </c>
      <c r="BP6" s="14">
        <v>45590</v>
      </c>
      <c r="BQ6" s="14">
        <v>45591</v>
      </c>
      <c r="BR6" s="14">
        <v>45592</v>
      </c>
      <c r="BS6" s="14">
        <v>45593</v>
      </c>
      <c r="BT6" s="14">
        <v>45594</v>
      </c>
      <c r="BU6" s="14">
        <v>45595</v>
      </c>
      <c r="BV6" s="14">
        <v>45596</v>
      </c>
      <c r="BW6" s="14">
        <v>45597</v>
      </c>
      <c r="BX6" s="14">
        <v>45598</v>
      </c>
      <c r="BY6" s="14">
        <v>45599</v>
      </c>
      <c r="BZ6" s="14">
        <v>45600</v>
      </c>
      <c r="CA6" s="14">
        <v>45601</v>
      </c>
      <c r="CB6" s="14">
        <v>45602</v>
      </c>
      <c r="CC6" s="14">
        <v>45603</v>
      </c>
      <c r="CD6" s="14">
        <v>45604</v>
      </c>
      <c r="CE6" s="14">
        <v>45605</v>
      </c>
      <c r="CF6" s="14">
        <v>45606</v>
      </c>
      <c r="CG6" s="14">
        <v>45607</v>
      </c>
      <c r="CH6" s="14">
        <v>45608</v>
      </c>
      <c r="CI6" s="14">
        <v>45609</v>
      </c>
      <c r="CJ6" s="14">
        <v>45610</v>
      </c>
      <c r="CK6" s="14">
        <v>45611</v>
      </c>
      <c r="CL6" s="14">
        <v>45612</v>
      </c>
      <c r="CM6" s="14">
        <v>45613</v>
      </c>
      <c r="CN6" s="14">
        <v>45614</v>
      </c>
      <c r="CO6" s="14">
        <v>45615</v>
      </c>
      <c r="CP6" s="14">
        <v>45616</v>
      </c>
      <c r="CQ6" s="14">
        <v>45617</v>
      </c>
      <c r="CR6" s="14">
        <v>45618</v>
      </c>
      <c r="CS6" s="14">
        <v>45619</v>
      </c>
      <c r="CT6" s="14">
        <v>45620</v>
      </c>
      <c r="CU6" s="14">
        <v>45621</v>
      </c>
      <c r="CV6" s="14">
        <v>45622</v>
      </c>
      <c r="CW6" s="14">
        <v>45623</v>
      </c>
      <c r="CX6" s="14">
        <v>45624</v>
      </c>
      <c r="CY6" s="14">
        <v>45625</v>
      </c>
      <c r="CZ6" s="14">
        <v>45626</v>
      </c>
      <c r="DA6" s="14">
        <v>45627</v>
      </c>
      <c r="DB6" s="14">
        <v>45628</v>
      </c>
      <c r="DC6" s="14">
        <v>45629</v>
      </c>
      <c r="DD6" s="14">
        <v>45630</v>
      </c>
      <c r="DE6" s="14">
        <v>45631</v>
      </c>
      <c r="DF6" s="14">
        <v>45632</v>
      </c>
      <c r="DG6" s="14">
        <v>45633</v>
      </c>
      <c r="DH6" s="14">
        <v>45634</v>
      </c>
      <c r="DI6" s="14">
        <v>45635</v>
      </c>
      <c r="DJ6" s="14">
        <v>45636</v>
      </c>
      <c r="DK6" s="14">
        <v>45637</v>
      </c>
      <c r="DL6" s="14">
        <v>45638</v>
      </c>
      <c r="DM6" s="14">
        <v>45639</v>
      </c>
      <c r="DN6" s="14">
        <v>45640</v>
      </c>
      <c r="DO6" s="14">
        <v>45641</v>
      </c>
      <c r="DP6" s="14">
        <v>45642</v>
      </c>
      <c r="DQ6" s="14">
        <v>45643</v>
      </c>
      <c r="DR6" s="14">
        <v>45644</v>
      </c>
      <c r="DS6" s="14">
        <v>45645</v>
      </c>
      <c r="DT6" s="14">
        <v>45646</v>
      </c>
      <c r="DU6" s="14">
        <v>45647</v>
      </c>
      <c r="DV6" s="14">
        <v>45648</v>
      </c>
      <c r="DW6" s="14">
        <v>45649</v>
      </c>
      <c r="DX6" s="14">
        <v>45650</v>
      </c>
      <c r="DY6" s="14">
        <v>45651</v>
      </c>
      <c r="DZ6" s="14">
        <v>45652</v>
      </c>
      <c r="EA6" s="14">
        <v>45653</v>
      </c>
      <c r="EB6" s="14">
        <v>45654</v>
      </c>
      <c r="EC6" s="14">
        <v>45655</v>
      </c>
      <c r="ED6" s="14">
        <v>45656</v>
      </c>
      <c r="EE6" s="14">
        <v>45657</v>
      </c>
    </row>
    <row r="7" spans="2:135" s="44" customFormat="1" ht="15" x14ac:dyDescent="0.25">
      <c r="B7" s="53"/>
      <c r="C7" s="15"/>
      <c r="D7" s="15"/>
      <c r="E7" s="15"/>
      <c r="F7" s="15"/>
      <c r="G7" s="15"/>
      <c r="H7" s="66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</row>
    <row r="8" spans="2:135" x14ac:dyDescent="0.3">
      <c r="B8" s="16" t="s">
        <v>110</v>
      </c>
      <c r="C8" s="57">
        <v>45531</v>
      </c>
      <c r="D8" s="24">
        <v>1</v>
      </c>
      <c r="E8" s="24"/>
      <c r="F8" s="24"/>
      <c r="G8" s="24"/>
      <c r="H8" s="24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</row>
    <row r="9" spans="2:135" x14ac:dyDescent="0.3">
      <c r="B9" s="16" t="s">
        <v>116</v>
      </c>
      <c r="C9" s="57">
        <v>45534</v>
      </c>
      <c r="D9" s="24">
        <v>1</v>
      </c>
      <c r="E9" s="24"/>
      <c r="F9" s="24"/>
      <c r="G9" s="24"/>
      <c r="H9" s="24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</row>
    <row r="10" spans="2:135" x14ac:dyDescent="0.3">
      <c r="B10" s="16" t="s">
        <v>111</v>
      </c>
      <c r="C10" s="57">
        <v>45540</v>
      </c>
      <c r="D10" s="24">
        <v>1</v>
      </c>
      <c r="E10" s="24"/>
      <c r="F10" s="24"/>
      <c r="G10" s="24"/>
      <c r="H10" s="24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2:135" x14ac:dyDescent="0.3">
      <c r="B11" s="58" t="s">
        <v>112</v>
      </c>
      <c r="C11" s="57">
        <v>45540</v>
      </c>
      <c r="D11" s="24">
        <v>1</v>
      </c>
      <c r="E11" s="24"/>
      <c r="F11" s="24"/>
      <c r="G11" s="24"/>
      <c r="H11" s="24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</row>
    <row r="12" spans="2:135" x14ac:dyDescent="0.3">
      <c r="B12" s="58" t="s">
        <v>113</v>
      </c>
      <c r="C12" s="57">
        <v>45540</v>
      </c>
      <c r="D12" s="24">
        <v>1</v>
      </c>
      <c r="E12" s="24"/>
      <c r="F12" s="24"/>
      <c r="G12" s="24"/>
      <c r="H12" s="24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</row>
    <row r="13" spans="2:135" s="1" customFormat="1" x14ac:dyDescent="0.3">
      <c r="B13" s="59" t="s">
        <v>114</v>
      </c>
      <c r="C13" s="57">
        <v>45540</v>
      </c>
      <c r="D13" s="24">
        <v>1</v>
      </c>
      <c r="E13" s="25"/>
      <c r="F13" s="25"/>
      <c r="G13" s="25"/>
      <c r="H13" s="25"/>
    </row>
    <row r="14" spans="2:135" s="1" customFormat="1" x14ac:dyDescent="0.3">
      <c r="B14" s="11" t="s">
        <v>117</v>
      </c>
      <c r="C14" s="57">
        <v>45540</v>
      </c>
      <c r="D14" s="24">
        <v>1</v>
      </c>
      <c r="E14" s="6"/>
      <c r="F14" s="6"/>
      <c r="G14" s="26"/>
      <c r="H14" s="26"/>
    </row>
    <row r="15" spans="2:135" s="1" customFormat="1" x14ac:dyDescent="0.3">
      <c r="B15" s="11" t="s">
        <v>115</v>
      </c>
      <c r="C15" s="57">
        <v>45540</v>
      </c>
      <c r="D15" s="24">
        <v>1</v>
      </c>
      <c r="E15" s="6"/>
      <c r="F15" s="6"/>
      <c r="G15" s="26"/>
      <c r="H15" s="26"/>
    </row>
    <row r="16" spans="2:135" s="1" customFormat="1" ht="17.45" customHeight="1" x14ac:dyDescent="0.3">
      <c r="B16" s="60" t="s">
        <v>118</v>
      </c>
      <c r="C16" s="57">
        <v>45534</v>
      </c>
      <c r="D16" s="24">
        <v>1</v>
      </c>
      <c r="E16" s="25"/>
      <c r="F16" s="25"/>
      <c r="G16" s="25"/>
      <c r="H16" s="25"/>
    </row>
    <row r="17" spans="2:8" s="1" customFormat="1" x14ac:dyDescent="0.3">
      <c r="B17" s="11" t="s">
        <v>119</v>
      </c>
      <c r="C17" s="67">
        <v>45534</v>
      </c>
      <c r="D17" s="6">
        <v>1</v>
      </c>
      <c r="E17" s="6"/>
      <c r="F17" s="6"/>
      <c r="G17" s="26"/>
      <c r="H17" s="26"/>
    </row>
    <row r="18" spans="2:8" s="1" customFormat="1" x14ac:dyDescent="0.3">
      <c r="B18" s="11" t="s">
        <v>120</v>
      </c>
      <c r="C18" s="67">
        <v>45534</v>
      </c>
      <c r="D18" s="6">
        <v>1</v>
      </c>
      <c r="E18" s="6"/>
      <c r="F18" s="6"/>
      <c r="G18" s="26"/>
      <c r="H18" s="26"/>
    </row>
    <row r="19" spans="2:8" s="1" customFormat="1" x14ac:dyDescent="0.3">
      <c r="B19" s="11" t="s">
        <v>121</v>
      </c>
      <c r="C19" s="67">
        <v>45537</v>
      </c>
      <c r="D19" s="6">
        <v>1</v>
      </c>
      <c r="E19" s="6"/>
      <c r="F19" s="6"/>
      <c r="G19" s="26"/>
      <c r="H19" s="26"/>
    </row>
    <row r="20" spans="2:8" s="1" customFormat="1" x14ac:dyDescent="0.3">
      <c r="B20" s="5" t="s">
        <v>122</v>
      </c>
      <c r="C20" s="67">
        <v>45534</v>
      </c>
      <c r="D20" s="6">
        <v>1</v>
      </c>
      <c r="E20" s="6"/>
      <c r="F20" s="6"/>
      <c r="G20" s="26"/>
      <c r="H20" s="26"/>
    </row>
    <row r="21" spans="2:8" s="1" customFormat="1" x14ac:dyDescent="0.3">
      <c r="B21" s="5" t="s">
        <v>123</v>
      </c>
      <c r="C21" s="6"/>
      <c r="D21" s="6"/>
      <c r="E21" s="6"/>
      <c r="F21" s="6"/>
      <c r="G21" s="26"/>
      <c r="H21" s="26"/>
    </row>
    <row r="22" spans="2:8" s="1" customFormat="1" x14ac:dyDescent="0.3">
      <c r="B22" s="5" t="s">
        <v>53</v>
      </c>
      <c r="C22" s="6"/>
      <c r="D22" s="6"/>
      <c r="E22" s="6"/>
      <c r="F22" s="6"/>
      <c r="G22" s="26"/>
      <c r="H22" s="26"/>
    </row>
    <row r="23" spans="2:8" s="1" customFormat="1" x14ac:dyDescent="0.3">
      <c r="B23" s="5"/>
      <c r="C23" s="6"/>
      <c r="D23" s="6"/>
      <c r="E23" s="6"/>
      <c r="F23" s="6"/>
      <c r="G23" s="26"/>
      <c r="H23" s="26"/>
    </row>
    <row r="24" spans="2:8" s="1" customFormat="1" x14ac:dyDescent="0.3">
      <c r="B24" s="17"/>
      <c r="C24" s="25"/>
      <c r="D24" s="25"/>
      <c r="E24" s="25"/>
      <c r="F24" s="25"/>
      <c r="G24" s="25"/>
      <c r="H24" s="25"/>
    </row>
    <row r="25" spans="2:8" s="1" customFormat="1" x14ac:dyDescent="0.3">
      <c r="B25" s="11"/>
      <c r="C25" s="6"/>
      <c r="D25" s="6"/>
      <c r="E25" s="6"/>
      <c r="F25" s="6"/>
      <c r="G25" s="26"/>
      <c r="H25" s="26"/>
    </row>
    <row r="26" spans="2:8" s="1" customFormat="1" x14ac:dyDescent="0.3">
      <c r="B26" s="5"/>
      <c r="C26" s="6"/>
      <c r="D26" s="6"/>
      <c r="E26" s="6"/>
      <c r="F26" s="6"/>
      <c r="G26" s="26"/>
      <c r="H26" s="26"/>
    </row>
    <row r="27" spans="2:8" s="1" customFormat="1" x14ac:dyDescent="0.3">
      <c r="B27" s="11"/>
      <c r="C27" s="6"/>
      <c r="D27" s="6"/>
      <c r="E27" s="6"/>
      <c r="F27" s="6"/>
      <c r="G27" s="26"/>
      <c r="H27" s="26"/>
    </row>
    <row r="28" spans="2:8" s="1" customFormat="1" x14ac:dyDescent="0.3">
      <c r="B28" s="11" t="s">
        <v>73</v>
      </c>
      <c r="C28" s="6"/>
      <c r="D28" s="6"/>
      <c r="E28" s="6"/>
      <c r="F28" s="6"/>
      <c r="G28" s="26"/>
      <c r="H28" s="26"/>
    </row>
    <row r="29" spans="2:8" s="1" customFormat="1" x14ac:dyDescent="0.3">
      <c r="B29" s="5" t="s">
        <v>74</v>
      </c>
      <c r="C29" s="6"/>
      <c r="D29" s="6"/>
      <c r="E29" s="6"/>
      <c r="F29" s="6"/>
      <c r="G29" s="26"/>
      <c r="H29" s="26"/>
    </row>
    <row r="30" spans="2:8" s="1" customFormat="1" x14ac:dyDescent="0.3">
      <c r="B30" s="11" t="s">
        <v>24</v>
      </c>
      <c r="C30" s="6"/>
      <c r="D30" s="6"/>
      <c r="E30" s="6"/>
      <c r="F30" s="6"/>
      <c r="G30" s="26"/>
      <c r="H30" s="26"/>
    </row>
    <row r="31" spans="2:8" s="1" customFormat="1" x14ac:dyDescent="0.3">
      <c r="B31" s="11" t="s">
        <v>23</v>
      </c>
      <c r="C31" s="6"/>
      <c r="D31" s="6"/>
      <c r="E31" s="6"/>
      <c r="F31" s="6"/>
      <c r="G31" s="26"/>
      <c r="H31" s="26"/>
    </row>
    <row r="32" spans="2:8" s="1" customFormat="1" x14ac:dyDescent="0.3">
      <c r="B32" s="11" t="s">
        <v>47</v>
      </c>
      <c r="C32" s="6"/>
      <c r="D32" s="6"/>
      <c r="E32" s="6"/>
      <c r="F32" s="6"/>
      <c r="G32" s="26"/>
      <c r="H32" s="26"/>
    </row>
    <row r="33" spans="2:39" s="1" customFormat="1" x14ac:dyDescent="0.3">
      <c r="B33" s="11" t="s">
        <v>17</v>
      </c>
      <c r="C33" s="6"/>
      <c r="D33" s="6"/>
      <c r="E33" s="6"/>
      <c r="F33" s="6"/>
      <c r="G33" s="26"/>
      <c r="H33" s="26"/>
    </row>
    <row r="34" spans="2:39" s="1" customFormat="1" x14ac:dyDescent="0.3">
      <c r="B34" s="11" t="s">
        <v>78</v>
      </c>
      <c r="C34" s="6"/>
      <c r="D34" s="6"/>
      <c r="E34" s="6"/>
      <c r="F34" s="6"/>
      <c r="G34" s="26"/>
      <c r="H34" s="26"/>
    </row>
    <row r="35" spans="2:39" s="1" customFormat="1" x14ac:dyDescent="0.3">
      <c r="B35" s="11" t="s">
        <v>18</v>
      </c>
      <c r="C35" s="6"/>
      <c r="D35" s="6"/>
      <c r="E35" s="6"/>
      <c r="F35" s="6"/>
      <c r="G35" s="26"/>
      <c r="H35" s="26"/>
    </row>
    <row r="36" spans="2:39" s="1" customFormat="1" x14ac:dyDescent="0.3">
      <c r="B36" s="11" t="s">
        <v>31</v>
      </c>
      <c r="C36" s="6"/>
      <c r="D36" s="6"/>
      <c r="E36" s="6"/>
      <c r="F36" s="6"/>
      <c r="G36" s="26"/>
      <c r="H36" s="26"/>
    </row>
    <row r="37" spans="2:39" s="1" customFormat="1" x14ac:dyDescent="0.3">
      <c r="B37" s="11" t="s">
        <v>32</v>
      </c>
      <c r="C37" s="6"/>
      <c r="D37" s="6"/>
      <c r="E37" s="6"/>
      <c r="F37" s="6"/>
      <c r="G37" s="26"/>
      <c r="H37" s="26"/>
    </row>
    <row r="38" spans="2:39" s="1" customFormat="1" x14ac:dyDescent="0.3">
      <c r="B38" s="11" t="s">
        <v>19</v>
      </c>
      <c r="C38" s="6"/>
      <c r="D38" s="6"/>
      <c r="E38" s="6"/>
      <c r="F38" s="6"/>
      <c r="G38" s="26"/>
      <c r="H38" s="26"/>
    </row>
    <row r="39" spans="2:39" s="1" customFormat="1" x14ac:dyDescent="0.3">
      <c r="B39" s="11" t="s">
        <v>75</v>
      </c>
      <c r="C39" s="6"/>
      <c r="D39" s="6"/>
      <c r="E39" s="6"/>
      <c r="F39" s="6"/>
      <c r="G39" s="6"/>
      <c r="H39" s="6"/>
    </row>
    <row r="40" spans="2:39" s="1" customFormat="1" x14ac:dyDescent="0.3">
      <c r="B40" s="11" t="s">
        <v>34</v>
      </c>
      <c r="C40" s="6"/>
      <c r="D40" s="6"/>
      <c r="E40" s="6"/>
      <c r="F40" s="6"/>
      <c r="G40" s="26"/>
      <c r="H40" s="26"/>
    </row>
    <row r="41" spans="2:39" s="1" customFormat="1" x14ac:dyDescent="0.3">
      <c r="B41" s="11" t="s">
        <v>79</v>
      </c>
      <c r="C41" s="6"/>
      <c r="D41" s="6"/>
      <c r="E41" s="6"/>
      <c r="F41" s="6"/>
      <c r="G41" s="26"/>
      <c r="H41" s="26"/>
    </row>
    <row r="42" spans="2:39" s="1" customFormat="1" x14ac:dyDescent="0.3">
      <c r="B42" s="11" t="s">
        <v>13</v>
      </c>
      <c r="C42" s="6"/>
      <c r="D42" s="6"/>
      <c r="E42" s="6"/>
      <c r="F42" s="6"/>
      <c r="G42" s="26"/>
      <c r="H42" s="26"/>
    </row>
    <row r="43" spans="2:39" s="1" customFormat="1" x14ac:dyDescent="0.3">
      <c r="B43" s="11" t="s">
        <v>14</v>
      </c>
      <c r="C43" s="6"/>
      <c r="D43" s="6"/>
      <c r="E43" s="6"/>
      <c r="F43" s="6"/>
      <c r="G43" s="26"/>
      <c r="H43" s="26"/>
    </row>
    <row r="44" spans="2:39" s="1" customFormat="1" x14ac:dyDescent="0.3">
      <c r="B44" s="11" t="s">
        <v>15</v>
      </c>
      <c r="C44" s="6"/>
      <c r="D44" s="6"/>
      <c r="E44" s="6"/>
      <c r="F44" s="6"/>
      <c r="G44" s="26"/>
      <c r="H44" s="26"/>
    </row>
    <row r="45" spans="2:39" x14ac:dyDescent="0.3">
      <c r="AD45" s="1"/>
      <c r="AE45" s="1"/>
      <c r="AF45" s="1"/>
      <c r="AG45" s="1"/>
      <c r="AH45" s="1"/>
      <c r="AI45" s="1"/>
      <c r="AJ45" s="1"/>
      <c r="AK45" s="1"/>
      <c r="AL45" s="1"/>
      <c r="AM45" s="1"/>
    </row>
  </sheetData>
  <mergeCells count="10">
    <mergeCell ref="L2:P2"/>
    <mergeCell ref="R2:U2"/>
    <mergeCell ref="W2:Z2"/>
    <mergeCell ref="AB2:AG2"/>
    <mergeCell ref="B3:B6"/>
    <mergeCell ref="C3:C6"/>
    <mergeCell ref="D3:D6"/>
    <mergeCell ref="E3:E6"/>
    <mergeCell ref="F3:F6"/>
    <mergeCell ref="G3:G6"/>
  </mergeCells>
  <conditionalFormatting sqref="B45:AM45">
    <cfRule type="expression" dxfId="9" priority="2">
      <formula>TRUE</formula>
    </cfRule>
  </conditionalFormatting>
  <conditionalFormatting sqref="H4:EE5 I6:EE7">
    <cfRule type="expression" dxfId="8" priority="1">
      <formula>H$6=period_selected</formula>
    </cfRule>
  </conditionalFormatting>
  <conditionalFormatting sqref="I8:EE44">
    <cfRule type="expression" dxfId="7" priority="3">
      <formula>PercentComplete</formula>
    </cfRule>
    <cfRule type="expression" dxfId="6" priority="4">
      <formula>PercentCompleteBeyond</formula>
    </cfRule>
    <cfRule type="expression" dxfId="5" priority="5">
      <formula>Actual</formula>
    </cfRule>
    <cfRule type="expression" dxfId="4" priority="6">
      <formula>ActualBeyond</formula>
    </cfRule>
    <cfRule type="expression" dxfId="3" priority="7">
      <formula>Plan</formula>
    </cfRule>
    <cfRule type="expression" dxfId="2" priority="8">
      <formula>I$6=period_selected</formula>
    </cfRule>
    <cfRule type="expression" dxfId="1" priority="9">
      <formula>MOD(COLUMN(),2)</formula>
    </cfRule>
    <cfRule type="expression" dxfId="0" priority="10">
      <formula>MOD(COLUMN(),2)=0</formula>
    </cfRule>
  </conditionalFormatting>
  <dataValidations count="15">
    <dataValidation allowBlank="1" showInputMessage="1" showErrorMessage="1" prompt="Enter activity in column B, starting with cell B5_x000a_" sqref="B3:B7" xr:uid="{4F4B43B4-0257-4D9A-ABCB-7E08CF04AEEF}"/>
    <dataValidation allowBlank="1" showInputMessage="1" showErrorMessage="1" prompt="Enter plan start period in column C, starting with cell C5" sqref="C3:C7" xr:uid="{EE780729-2F3F-48F9-8BB0-03A8D55B6E6D}"/>
    <dataValidation allowBlank="1" showInputMessage="1" showErrorMessage="1" prompt="Enter plan duration period in column D, starting with cell D5" sqref="D3:D7" xr:uid="{72D497A4-C289-4398-8A03-EE74D71712E3}"/>
    <dataValidation allowBlank="1" showInputMessage="1" showErrorMessage="1" prompt="Enter actual start period in column E, starting with cell E5" sqref="E3:E7" xr:uid="{7E996953-9218-4B22-AE85-FB8F02AAACD8}"/>
    <dataValidation allowBlank="1" showInputMessage="1" showErrorMessage="1" prompt="Enter actual duration period in column F, starting with cell F5" sqref="F3:F7" xr:uid="{F78C03D1-7425-48F2-9CC8-ED2EDEB4357A}"/>
    <dataValidation allowBlank="1" showInputMessage="1" showErrorMessage="1" prompt="Enter the percentage of project completed in column G, starting with cell G5" sqref="G3:H7" xr:uid="{EF948DAF-F893-4C92-B5A3-AD9335AFF685}"/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FA386782-3E7B-45FD-8930-DA1694F3952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I2" xr:uid="{B6019371-117F-48EA-AD4C-376160ECA02C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K2" xr:uid="{A8D0DA9E-1A86-4B8E-AB1F-1FD57FB6C24A}"/>
    <dataValidation allowBlank="1" showInputMessage="1" showErrorMessage="1" prompt="This legend cell indicates actual duration" sqref="Q2" xr:uid="{EE114150-7E76-49F8-871E-1181528E268B}"/>
    <dataValidation allowBlank="1" showInputMessage="1" showErrorMessage="1" prompt="This legend cell indicates the percentage of project completed" sqref="V2" xr:uid="{0B0A904E-0CE7-4A09-810A-F916214AFBB1}"/>
    <dataValidation allowBlank="1" showInputMessage="1" showErrorMessage="1" prompt="This legend cell indicates actual duration beyond plan" sqref="AA2" xr:uid="{63F8E9C8-68CB-457E-ACCE-96EB83B6B151}"/>
    <dataValidation allowBlank="1" showInputMessage="1" showErrorMessage="1" prompt="Periods are charted from 1 to 60 starting from cell H4 to cell BO4 " sqref="I3" xr:uid="{BCBA5D11-EE7D-4F9B-B74F-6ED4F8CDA5AF}"/>
    <dataValidation allowBlank="1" showInputMessage="1" showErrorMessage="1" prompt="Title of the project. Enter a new title in this cell. Highlight a period in H2. Chart legend is in J2 to AI2" sqref="B1" xr:uid="{F5DF72CB-A6E2-4F4F-8729-5419A491C5A0}"/>
    <dataValidation allowBlank="1" showInputMessage="1" showErrorMessage="1" prompt="Select a period to highlight in H2. A Chart legend is in J2 to AI2" sqref="B2:F2" xr:uid="{74225ACA-3588-4A7E-B44C-A47666F56AF9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3D516-8A0B-42E6-859D-4E36F711CFA5}">
  <sheetPr>
    <pageSetUpPr fitToPage="1"/>
  </sheetPr>
  <dimension ref="A1:L45"/>
  <sheetViews>
    <sheetView tabSelected="1" view="pageBreakPreview" topLeftCell="A4" zoomScaleNormal="115" zoomScaleSheetLayoutView="100" workbookViewId="0">
      <selection activeCell="B11" sqref="B11"/>
    </sheetView>
  </sheetViews>
  <sheetFormatPr defaultColWidth="8.875" defaultRowHeight="14.25" x14ac:dyDescent="0.25"/>
  <cols>
    <col min="1" max="1" width="5.875" style="68" bestFit="1" customWidth="1"/>
    <col min="2" max="2" width="43.125" style="68" bestFit="1" customWidth="1"/>
    <col min="3" max="3" width="16.5" style="68" customWidth="1"/>
    <col min="4" max="5" width="7.875" style="68" customWidth="1"/>
    <col min="6" max="6" width="21.625" style="68" bestFit="1" customWidth="1"/>
    <col min="7" max="11" width="8.875" style="68"/>
    <col min="12" max="12" width="43.125" style="68" bestFit="1" customWidth="1"/>
    <col min="13" max="16384" width="8.875" style="68"/>
  </cols>
  <sheetData>
    <row r="1" spans="1:12" x14ac:dyDescent="0.25">
      <c r="A1" s="106" t="s">
        <v>174</v>
      </c>
      <c r="B1" s="106"/>
      <c r="C1" s="106"/>
      <c r="D1" s="106"/>
      <c r="E1" s="106"/>
      <c r="F1" s="106"/>
    </row>
    <row r="2" spans="1:12" ht="15" x14ac:dyDescent="0.25">
      <c r="A2" s="107" t="s">
        <v>194</v>
      </c>
      <c r="B2" s="107"/>
      <c r="C2" s="107"/>
      <c r="D2" s="107"/>
      <c r="E2" s="107"/>
      <c r="F2" s="107"/>
    </row>
    <row r="3" spans="1:12" ht="15" x14ac:dyDescent="0.25">
      <c r="A3" s="107" t="s">
        <v>173</v>
      </c>
      <c r="B3" s="107"/>
      <c r="C3" s="107"/>
      <c r="D3" s="107"/>
      <c r="E3" s="107"/>
      <c r="F3" s="107"/>
    </row>
    <row r="4" spans="1:12" x14ac:dyDescent="0.25">
      <c r="A4" s="108" t="s">
        <v>195</v>
      </c>
      <c r="B4" s="108"/>
      <c r="C4" s="109" t="s">
        <v>172</v>
      </c>
      <c r="D4" s="109"/>
      <c r="E4" s="109"/>
      <c r="F4" s="109"/>
    </row>
    <row r="5" spans="1:12" x14ac:dyDescent="0.25">
      <c r="A5" s="108" t="s">
        <v>171</v>
      </c>
      <c r="B5" s="108"/>
      <c r="C5" s="109" t="s">
        <v>193</v>
      </c>
      <c r="D5" s="109"/>
      <c r="E5" s="109"/>
      <c r="F5" s="109"/>
    </row>
    <row r="6" spans="1:12" x14ac:dyDescent="0.25">
      <c r="A6" s="108"/>
      <c r="B6" s="108"/>
      <c r="C6" s="108"/>
      <c r="D6" s="108"/>
      <c r="E6" s="108"/>
      <c r="F6" s="108"/>
    </row>
    <row r="7" spans="1:12" ht="20.25" x14ac:dyDescent="0.25">
      <c r="A7" s="110" t="s">
        <v>196</v>
      </c>
      <c r="B7" s="110"/>
      <c r="C7" s="110"/>
      <c r="D7" s="110"/>
      <c r="E7" s="110"/>
      <c r="F7" s="110"/>
    </row>
    <row r="9" spans="1:12" ht="15" x14ac:dyDescent="0.25">
      <c r="A9" s="70" t="s">
        <v>158</v>
      </c>
      <c r="B9" s="70" t="s">
        <v>159</v>
      </c>
      <c r="C9" s="70" t="s">
        <v>160</v>
      </c>
      <c r="D9" s="70" t="s">
        <v>161</v>
      </c>
      <c r="E9" s="70" t="s">
        <v>162</v>
      </c>
      <c r="F9" s="70" t="s">
        <v>170</v>
      </c>
    </row>
    <row r="10" spans="1:12" ht="77.45" customHeight="1" x14ac:dyDescent="0.25">
      <c r="A10" s="71">
        <v>1</v>
      </c>
      <c r="B10" s="72" t="s">
        <v>128</v>
      </c>
      <c r="C10" s="71"/>
      <c r="D10" s="71">
        <v>30</v>
      </c>
      <c r="E10" s="71" t="s">
        <v>155</v>
      </c>
      <c r="F10" s="71" t="s">
        <v>169</v>
      </c>
    </row>
    <row r="11" spans="1:12" ht="77.45" customHeight="1" x14ac:dyDescent="0.25">
      <c r="A11" s="71">
        <v>2</v>
      </c>
      <c r="B11" s="72" t="s">
        <v>129</v>
      </c>
      <c r="C11" s="71"/>
      <c r="D11" s="71">
        <v>16</v>
      </c>
      <c r="E11" s="71" t="s">
        <v>155</v>
      </c>
      <c r="F11" s="71" t="s">
        <v>169</v>
      </c>
    </row>
    <row r="12" spans="1:12" ht="77.45" customHeight="1" x14ac:dyDescent="0.25">
      <c r="A12" s="71">
        <v>3</v>
      </c>
      <c r="B12" s="73" t="s">
        <v>132</v>
      </c>
      <c r="C12" s="71"/>
      <c r="D12" s="71">
        <v>50</v>
      </c>
      <c r="E12" s="71" t="s">
        <v>155</v>
      </c>
      <c r="F12" s="71" t="s">
        <v>169</v>
      </c>
      <c r="L12" s="69"/>
    </row>
    <row r="13" spans="1:12" ht="77.45" customHeight="1" x14ac:dyDescent="0.25">
      <c r="A13" s="71">
        <v>4</v>
      </c>
      <c r="B13" s="73" t="s">
        <v>127</v>
      </c>
      <c r="C13" s="71"/>
      <c r="D13" s="71">
        <v>22</v>
      </c>
      <c r="E13" s="71" t="s">
        <v>155</v>
      </c>
      <c r="F13" s="71" t="s">
        <v>166</v>
      </c>
      <c r="L13" s="69"/>
    </row>
    <row r="14" spans="1:12" ht="77.45" customHeight="1" x14ac:dyDescent="0.25">
      <c r="A14" s="71">
        <v>5</v>
      </c>
      <c r="B14" s="73" t="s">
        <v>133</v>
      </c>
      <c r="C14" s="71"/>
      <c r="D14" s="71">
        <v>22</v>
      </c>
      <c r="E14" s="71" t="s">
        <v>155</v>
      </c>
      <c r="F14" s="77" t="s">
        <v>150</v>
      </c>
      <c r="L14" s="69"/>
    </row>
    <row r="15" spans="1:12" ht="77.45" customHeight="1" x14ac:dyDescent="0.25">
      <c r="A15" s="71">
        <v>6</v>
      </c>
      <c r="B15" s="73" t="s">
        <v>124</v>
      </c>
      <c r="C15" s="71"/>
      <c r="D15" s="71">
        <v>50</v>
      </c>
      <c r="E15" s="71" t="s">
        <v>155</v>
      </c>
      <c r="F15" s="71" t="s">
        <v>166</v>
      </c>
      <c r="L15" s="69"/>
    </row>
    <row r="16" spans="1:12" ht="77.45" customHeight="1" x14ac:dyDescent="0.25">
      <c r="A16" s="71">
        <v>7</v>
      </c>
      <c r="B16" s="73" t="s">
        <v>125</v>
      </c>
      <c r="C16" s="71"/>
      <c r="D16" s="71">
        <v>20</v>
      </c>
      <c r="E16" s="71" t="s">
        <v>155</v>
      </c>
      <c r="F16" s="71" t="s">
        <v>166</v>
      </c>
    </row>
    <row r="17" spans="1:12" ht="77.45" customHeight="1" x14ac:dyDescent="0.25">
      <c r="A17" s="71">
        <v>8</v>
      </c>
      <c r="B17" s="73" t="s">
        <v>134</v>
      </c>
      <c r="C17" s="71"/>
      <c r="D17" s="71">
        <v>10</v>
      </c>
      <c r="E17" s="71" t="s">
        <v>155</v>
      </c>
      <c r="F17" s="71" t="s">
        <v>166</v>
      </c>
    </row>
    <row r="18" spans="1:12" ht="78" customHeight="1" x14ac:dyDescent="0.25">
      <c r="A18" s="71">
        <v>9</v>
      </c>
      <c r="B18" s="73" t="s">
        <v>146</v>
      </c>
      <c r="C18" s="71"/>
      <c r="D18" s="71">
        <v>30</v>
      </c>
      <c r="E18" s="71" t="s">
        <v>155</v>
      </c>
      <c r="F18" s="71" t="s">
        <v>166</v>
      </c>
    </row>
    <row r="19" spans="1:12" ht="77.45" customHeight="1" x14ac:dyDescent="0.25">
      <c r="A19" s="71">
        <v>10</v>
      </c>
      <c r="B19" s="73" t="s">
        <v>126</v>
      </c>
      <c r="C19" s="71"/>
      <c r="D19" s="71">
        <v>6</v>
      </c>
      <c r="E19" s="71" t="s">
        <v>155</v>
      </c>
      <c r="F19" s="71" t="s">
        <v>166</v>
      </c>
      <c r="L19" s="69"/>
    </row>
    <row r="20" spans="1:12" ht="77.45" customHeight="1" x14ac:dyDescent="0.25">
      <c r="A20" s="71">
        <v>11</v>
      </c>
      <c r="B20" s="73" t="s">
        <v>130</v>
      </c>
      <c r="C20" s="71"/>
      <c r="D20" s="71">
        <v>3</v>
      </c>
      <c r="E20" s="71" t="s">
        <v>155</v>
      </c>
      <c r="F20" s="71" t="s">
        <v>166</v>
      </c>
      <c r="L20" s="69"/>
    </row>
    <row r="21" spans="1:12" ht="77.45" customHeight="1" x14ac:dyDescent="0.25">
      <c r="A21" s="71">
        <v>12</v>
      </c>
      <c r="B21" s="73" t="s">
        <v>131</v>
      </c>
      <c r="C21" s="71"/>
      <c r="D21" s="71">
        <v>4</v>
      </c>
      <c r="E21" s="71" t="s">
        <v>155</v>
      </c>
      <c r="F21" s="71" t="s">
        <v>166</v>
      </c>
      <c r="L21" s="69"/>
    </row>
    <row r="22" spans="1:12" ht="78" customHeight="1" x14ac:dyDescent="0.25">
      <c r="A22" s="71">
        <v>13</v>
      </c>
      <c r="B22" s="73" t="s">
        <v>151</v>
      </c>
      <c r="C22" s="71"/>
      <c r="D22" s="71">
        <v>3</v>
      </c>
      <c r="E22" s="71" t="s">
        <v>155</v>
      </c>
      <c r="F22" s="71" t="s">
        <v>166</v>
      </c>
      <c r="L22" s="69"/>
    </row>
    <row r="23" spans="1:12" ht="78" customHeight="1" x14ac:dyDescent="0.25">
      <c r="A23" s="71">
        <v>14</v>
      </c>
      <c r="B23" s="73" t="s">
        <v>136</v>
      </c>
      <c r="C23" s="71"/>
      <c r="D23" s="71">
        <v>6</v>
      </c>
      <c r="E23" s="71" t="s">
        <v>155</v>
      </c>
      <c r="F23" s="71" t="s">
        <v>166</v>
      </c>
      <c r="L23" s="69"/>
    </row>
    <row r="24" spans="1:12" ht="78" customHeight="1" x14ac:dyDescent="0.25">
      <c r="A24" s="71">
        <v>15</v>
      </c>
      <c r="B24" s="73" t="s">
        <v>135</v>
      </c>
      <c r="C24" s="71"/>
      <c r="D24" s="71">
        <v>12</v>
      </c>
      <c r="E24" s="71" t="s">
        <v>155</v>
      </c>
      <c r="F24" s="71" t="s">
        <v>166</v>
      </c>
      <c r="L24" s="69"/>
    </row>
    <row r="25" spans="1:12" ht="78" customHeight="1" x14ac:dyDescent="0.25">
      <c r="A25" s="71">
        <v>16</v>
      </c>
      <c r="B25" s="73" t="s">
        <v>138</v>
      </c>
      <c r="C25" s="71"/>
      <c r="D25" s="71">
        <v>12</v>
      </c>
      <c r="E25" s="71" t="s">
        <v>155</v>
      </c>
      <c r="F25" s="71" t="s">
        <v>166</v>
      </c>
      <c r="L25" s="69"/>
    </row>
    <row r="26" spans="1:12" ht="78" customHeight="1" x14ac:dyDescent="0.25">
      <c r="A26" s="71">
        <v>17</v>
      </c>
      <c r="B26" s="73" t="s">
        <v>139</v>
      </c>
      <c r="C26" s="71"/>
      <c r="D26" s="71">
        <v>12</v>
      </c>
      <c r="E26" s="71" t="s">
        <v>155</v>
      </c>
      <c r="F26" s="71" t="s">
        <v>166</v>
      </c>
    </row>
    <row r="27" spans="1:12" ht="78" customHeight="1" x14ac:dyDescent="0.25">
      <c r="A27" s="71">
        <v>18</v>
      </c>
      <c r="B27" s="76" t="s">
        <v>168</v>
      </c>
      <c r="C27"/>
      <c r="D27" s="75">
        <v>1</v>
      </c>
      <c r="E27" s="75" t="s">
        <v>157</v>
      </c>
      <c r="F27" s="75" t="s">
        <v>166</v>
      </c>
    </row>
    <row r="28" spans="1:12" ht="78" customHeight="1" x14ac:dyDescent="0.25">
      <c r="A28" s="71">
        <v>19</v>
      </c>
      <c r="B28" s="73" t="s">
        <v>167</v>
      </c>
      <c r="C28" s="74"/>
      <c r="D28" s="71">
        <v>2</v>
      </c>
      <c r="E28" s="71" t="s">
        <v>157</v>
      </c>
      <c r="F28" s="71" t="s">
        <v>166</v>
      </c>
    </row>
    <row r="29" spans="1:12" ht="78" customHeight="1" x14ac:dyDescent="0.25">
      <c r="A29" s="71">
        <v>20</v>
      </c>
      <c r="B29" s="73" t="s">
        <v>152</v>
      </c>
      <c r="C29" s="74"/>
      <c r="D29" s="71">
        <v>2</v>
      </c>
      <c r="E29" s="71" t="s">
        <v>154</v>
      </c>
      <c r="F29" s="71" t="s">
        <v>166</v>
      </c>
    </row>
    <row r="30" spans="1:12" ht="78" customHeight="1" x14ac:dyDescent="0.25">
      <c r="A30" s="71">
        <v>21</v>
      </c>
      <c r="B30" s="73" t="s">
        <v>141</v>
      </c>
      <c r="C30" s="71"/>
      <c r="D30" s="71">
        <v>2</v>
      </c>
      <c r="E30" s="71" t="s">
        <v>155</v>
      </c>
      <c r="F30" s="71" t="s">
        <v>166</v>
      </c>
    </row>
    <row r="31" spans="1:12" ht="78" customHeight="1" x14ac:dyDescent="0.25">
      <c r="A31" s="71">
        <v>22</v>
      </c>
      <c r="B31" s="73" t="s">
        <v>140</v>
      </c>
      <c r="C31" s="71"/>
      <c r="D31" s="71">
        <v>2</v>
      </c>
      <c r="E31" s="71" t="s">
        <v>155</v>
      </c>
      <c r="F31" s="71" t="s">
        <v>166</v>
      </c>
    </row>
    <row r="32" spans="1:12" ht="78" customHeight="1" x14ac:dyDescent="0.25">
      <c r="A32" s="71">
        <v>23</v>
      </c>
      <c r="B32" s="73" t="s">
        <v>142</v>
      </c>
      <c r="C32" s="71"/>
      <c r="D32" s="71">
        <v>2</v>
      </c>
      <c r="E32" s="71" t="s">
        <v>156</v>
      </c>
      <c r="F32" s="71" t="s">
        <v>166</v>
      </c>
      <c r="L32" s="69"/>
    </row>
    <row r="33" spans="1:12" ht="78" customHeight="1" x14ac:dyDescent="0.25">
      <c r="A33" s="71">
        <v>24</v>
      </c>
      <c r="B33" s="73" t="s">
        <v>91</v>
      </c>
      <c r="C33" s="71"/>
      <c r="D33" s="71">
        <v>10</v>
      </c>
      <c r="E33" s="71" t="s">
        <v>155</v>
      </c>
      <c r="F33" s="71" t="s">
        <v>166</v>
      </c>
      <c r="L33" s="69"/>
    </row>
    <row r="34" spans="1:12" ht="78" customHeight="1" x14ac:dyDescent="0.25">
      <c r="A34" s="71">
        <v>25</v>
      </c>
      <c r="B34" s="73" t="s">
        <v>143</v>
      </c>
      <c r="C34" s="71"/>
      <c r="D34" s="71">
        <v>30</v>
      </c>
      <c r="E34" s="71" t="s">
        <v>157</v>
      </c>
      <c r="F34" s="71" t="s">
        <v>166</v>
      </c>
      <c r="L34" s="69"/>
    </row>
    <row r="35" spans="1:12" ht="78" customHeight="1" x14ac:dyDescent="0.25">
      <c r="A35" s="71">
        <v>26</v>
      </c>
      <c r="B35" s="73" t="s">
        <v>144</v>
      </c>
      <c r="C35" s="71"/>
      <c r="D35" s="71">
        <v>2</v>
      </c>
      <c r="E35" s="71" t="s">
        <v>157</v>
      </c>
      <c r="F35" s="71" t="s">
        <v>166</v>
      </c>
      <c r="L35" s="69"/>
    </row>
    <row r="36" spans="1:12" ht="78" customHeight="1" x14ac:dyDescent="0.25">
      <c r="A36" s="71">
        <v>27</v>
      </c>
      <c r="B36" s="73" t="s">
        <v>145</v>
      </c>
      <c r="C36" s="71"/>
      <c r="D36" s="71">
        <v>8</v>
      </c>
      <c r="E36" s="71" t="s">
        <v>157</v>
      </c>
      <c r="F36" s="71" t="s">
        <v>166</v>
      </c>
      <c r="L36" s="69"/>
    </row>
    <row r="37" spans="1:12" ht="78" customHeight="1" x14ac:dyDescent="0.25">
      <c r="A37" s="71">
        <v>28</v>
      </c>
      <c r="B37" s="73" t="s">
        <v>163</v>
      </c>
      <c r="C37" s="71"/>
      <c r="D37" s="71">
        <v>8</v>
      </c>
      <c r="E37" s="71" t="s">
        <v>157</v>
      </c>
      <c r="F37" s="71" t="s">
        <v>166</v>
      </c>
    </row>
    <row r="38" spans="1:12" ht="78" customHeight="1" x14ac:dyDescent="0.25">
      <c r="A38" s="71">
        <v>29</v>
      </c>
      <c r="B38" s="73" t="s">
        <v>92</v>
      </c>
      <c r="C38" s="71"/>
      <c r="D38" s="71">
        <v>8</v>
      </c>
      <c r="E38" s="71" t="s">
        <v>157</v>
      </c>
      <c r="F38" s="71" t="s">
        <v>166</v>
      </c>
    </row>
    <row r="39" spans="1:12" ht="78" customHeight="1" x14ac:dyDescent="0.25">
      <c r="A39" s="71">
        <v>30</v>
      </c>
      <c r="B39" s="73" t="s">
        <v>164</v>
      </c>
      <c r="C39" s="71"/>
      <c r="D39" s="71">
        <v>20</v>
      </c>
      <c r="E39" s="71" t="s">
        <v>157</v>
      </c>
      <c r="F39" s="71" t="s">
        <v>166</v>
      </c>
    </row>
    <row r="40" spans="1:12" ht="78" customHeight="1" x14ac:dyDescent="0.25">
      <c r="A40" s="71">
        <v>31</v>
      </c>
      <c r="B40" s="73" t="s">
        <v>147</v>
      </c>
      <c r="C40" s="71"/>
      <c r="D40" s="71">
        <v>100</v>
      </c>
      <c r="E40" s="71" t="s">
        <v>157</v>
      </c>
      <c r="F40" s="71" t="s">
        <v>166</v>
      </c>
    </row>
    <row r="41" spans="1:12" ht="78" customHeight="1" x14ac:dyDescent="0.25">
      <c r="A41" s="71">
        <v>32</v>
      </c>
      <c r="B41" s="73" t="s">
        <v>148</v>
      </c>
      <c r="C41" s="71"/>
      <c r="D41" s="71">
        <v>10</v>
      </c>
      <c r="E41" s="71" t="s">
        <v>157</v>
      </c>
      <c r="F41" s="71" t="s">
        <v>166</v>
      </c>
    </row>
    <row r="42" spans="1:12" ht="78" customHeight="1" x14ac:dyDescent="0.25">
      <c r="A42" s="71">
        <v>33</v>
      </c>
      <c r="B42" s="73" t="s">
        <v>149</v>
      </c>
      <c r="C42" s="71"/>
      <c r="D42" s="71">
        <v>3</v>
      </c>
      <c r="E42" s="71" t="s">
        <v>157</v>
      </c>
      <c r="F42" s="71" t="s">
        <v>166</v>
      </c>
    </row>
    <row r="43" spans="1:12" ht="78" customHeight="1" x14ac:dyDescent="0.25">
      <c r="A43" s="71">
        <v>34</v>
      </c>
      <c r="B43" s="73" t="s">
        <v>153</v>
      </c>
      <c r="C43" s="74"/>
      <c r="D43" s="71">
        <v>1</v>
      </c>
      <c r="E43" s="71" t="s">
        <v>157</v>
      </c>
      <c r="F43" s="71" t="s">
        <v>166</v>
      </c>
    </row>
    <row r="44" spans="1:12" ht="78" customHeight="1" x14ac:dyDescent="0.25">
      <c r="A44" s="71">
        <v>35</v>
      </c>
      <c r="B44" s="73" t="s">
        <v>137</v>
      </c>
      <c r="C44"/>
      <c r="D44" s="71">
        <v>1</v>
      </c>
      <c r="E44" s="71" t="s">
        <v>157</v>
      </c>
      <c r="F44" s="71" t="s">
        <v>166</v>
      </c>
    </row>
    <row r="45" spans="1:12" ht="78" customHeight="1" x14ac:dyDescent="0.25">
      <c r="A45" s="71">
        <v>36</v>
      </c>
      <c r="B45" s="73" t="s">
        <v>165</v>
      </c>
      <c r="C45" s="71"/>
      <c r="D45" s="71">
        <v>4</v>
      </c>
      <c r="E45" s="71" t="s">
        <v>157</v>
      </c>
      <c r="F45" s="71" t="s">
        <v>166</v>
      </c>
    </row>
  </sheetData>
  <mergeCells count="10">
    <mergeCell ref="A5:B5"/>
    <mergeCell ref="A6:B6"/>
    <mergeCell ref="C5:F5"/>
    <mergeCell ref="C6:F6"/>
    <mergeCell ref="A7:F7"/>
    <mergeCell ref="A1:F1"/>
    <mergeCell ref="A2:F2"/>
    <mergeCell ref="A3:F3"/>
    <mergeCell ref="A4:B4"/>
    <mergeCell ref="C4:F4"/>
  </mergeCells>
  <pageMargins left="0.7" right="0.7" top="0.75" bottom="0.75" header="0.3" footer="0.3"/>
  <pageSetup scale="86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E075-367C-4420-8616-34095205D0E2}">
  <dimension ref="A1:AF26"/>
  <sheetViews>
    <sheetView zoomScale="70" zoomScaleNormal="70" workbookViewId="0">
      <selection activeCell="D8" sqref="D8"/>
    </sheetView>
  </sheetViews>
  <sheetFormatPr defaultColWidth="8.875" defaultRowHeight="15" x14ac:dyDescent="0.25"/>
  <cols>
    <col min="1" max="1" width="46.75" style="34" bestFit="1" customWidth="1"/>
    <col min="2" max="29" width="9.5" style="31" customWidth="1"/>
    <col min="30" max="30" width="4.5" style="31" customWidth="1"/>
    <col min="31" max="31" width="20" style="31" bestFit="1" customWidth="1"/>
    <col min="32" max="16384" width="8.875" style="31"/>
  </cols>
  <sheetData>
    <row r="1" spans="1:32" s="28" customFormat="1" ht="28.9" customHeight="1" x14ac:dyDescent="0.25">
      <c r="A1" s="101" t="s">
        <v>33</v>
      </c>
      <c r="B1" s="103" t="s">
        <v>45</v>
      </c>
      <c r="C1" s="103"/>
      <c r="D1" s="103" t="s">
        <v>23</v>
      </c>
      <c r="E1" s="103"/>
      <c r="F1" s="103" t="s">
        <v>47</v>
      </c>
      <c r="G1" s="103"/>
      <c r="H1" s="103" t="s">
        <v>29</v>
      </c>
      <c r="I1" s="103"/>
      <c r="J1" s="103" t="s">
        <v>43</v>
      </c>
      <c r="K1" s="103"/>
      <c r="L1" s="104" t="s">
        <v>30</v>
      </c>
      <c r="M1" s="105"/>
      <c r="N1" s="104" t="s">
        <v>31</v>
      </c>
      <c r="O1" s="105"/>
      <c r="P1" s="103" t="s">
        <v>32</v>
      </c>
      <c r="Q1" s="103"/>
      <c r="R1" s="103" t="s">
        <v>19</v>
      </c>
      <c r="S1" s="103"/>
      <c r="T1" s="103" t="s">
        <v>44</v>
      </c>
      <c r="U1" s="103"/>
      <c r="V1" s="103" t="s">
        <v>34</v>
      </c>
      <c r="W1" s="103"/>
      <c r="X1" s="103" t="s">
        <v>46</v>
      </c>
      <c r="Y1" s="103"/>
      <c r="Z1" s="103" t="s">
        <v>13</v>
      </c>
      <c r="AA1" s="103"/>
      <c r="AB1" s="103" t="s">
        <v>14</v>
      </c>
      <c r="AC1" s="103"/>
      <c r="AE1" s="36" t="s">
        <v>42</v>
      </c>
      <c r="AF1" s="37">
        <v>70</v>
      </c>
    </row>
    <row r="2" spans="1:32" s="28" customFormat="1" ht="21.6" customHeight="1" x14ac:dyDescent="0.25">
      <c r="A2" s="102"/>
      <c r="B2" s="29" t="s">
        <v>20</v>
      </c>
      <c r="C2" s="29" t="s">
        <v>21</v>
      </c>
      <c r="D2" s="29" t="s">
        <v>20</v>
      </c>
      <c r="E2" s="29" t="s">
        <v>21</v>
      </c>
      <c r="F2" s="29" t="s">
        <v>20</v>
      </c>
      <c r="G2" s="29" t="s">
        <v>21</v>
      </c>
      <c r="H2" s="29" t="s">
        <v>20</v>
      </c>
      <c r="I2" s="29" t="s">
        <v>21</v>
      </c>
      <c r="J2" s="29" t="s">
        <v>20</v>
      </c>
      <c r="K2" s="29" t="s">
        <v>21</v>
      </c>
      <c r="L2" s="29" t="s">
        <v>20</v>
      </c>
      <c r="M2" s="29" t="s">
        <v>21</v>
      </c>
      <c r="N2" s="29" t="s">
        <v>20</v>
      </c>
      <c r="O2" s="29" t="s">
        <v>21</v>
      </c>
      <c r="P2" s="29" t="s">
        <v>20</v>
      </c>
      <c r="Q2" s="29" t="s">
        <v>21</v>
      </c>
      <c r="R2" s="29" t="s">
        <v>20</v>
      </c>
      <c r="S2" s="29" t="s">
        <v>21</v>
      </c>
      <c r="T2" s="29" t="s">
        <v>20</v>
      </c>
      <c r="U2" s="29" t="s">
        <v>21</v>
      </c>
      <c r="V2" s="29" t="s">
        <v>20</v>
      </c>
      <c r="W2" s="29" t="s">
        <v>21</v>
      </c>
      <c r="X2" s="29" t="s">
        <v>20</v>
      </c>
      <c r="Y2" s="29" t="s">
        <v>21</v>
      </c>
      <c r="Z2" s="29" t="s">
        <v>20</v>
      </c>
      <c r="AA2" s="29" t="s">
        <v>21</v>
      </c>
      <c r="AB2" s="29" t="s">
        <v>20</v>
      </c>
      <c r="AC2" s="29" t="s">
        <v>21</v>
      </c>
      <c r="AE2" s="35" t="s">
        <v>48</v>
      </c>
      <c r="AF2" s="31">
        <v>20</v>
      </c>
    </row>
    <row r="3" spans="1:32" ht="30.6" customHeight="1" x14ac:dyDescent="0.25">
      <c r="A3" s="30" t="s">
        <v>50</v>
      </c>
      <c r="B3" s="38"/>
      <c r="C3" s="39">
        <f>D3-1</f>
        <v>0</v>
      </c>
      <c r="D3" s="38">
        <f>$AF$3</f>
        <v>1</v>
      </c>
      <c r="E3" s="38">
        <f>1+0</f>
        <v>1</v>
      </c>
      <c r="F3" s="38">
        <f t="shared" ref="F3:H4" si="0">E3+1</f>
        <v>2</v>
      </c>
      <c r="G3" s="38">
        <f t="shared" si="0"/>
        <v>3</v>
      </c>
      <c r="H3" s="38">
        <f t="shared" si="0"/>
        <v>4</v>
      </c>
      <c r="I3" s="38">
        <f>H3+3</f>
        <v>7</v>
      </c>
      <c r="J3" s="38">
        <f>I3+1</f>
        <v>8</v>
      </c>
      <c r="K3" s="38">
        <f>J3+2</f>
        <v>10</v>
      </c>
      <c r="L3" s="38">
        <f>I3+1</f>
        <v>8</v>
      </c>
      <c r="M3" s="38">
        <f>L3+0</f>
        <v>8</v>
      </c>
      <c r="N3" s="38">
        <f>M3+1</f>
        <v>9</v>
      </c>
      <c r="O3" s="38">
        <f>N3</f>
        <v>9</v>
      </c>
      <c r="P3" s="38">
        <f>D3</f>
        <v>1</v>
      </c>
      <c r="Q3" s="38">
        <f>P3+5</f>
        <v>6</v>
      </c>
      <c r="R3" s="38">
        <f>T5+1</f>
        <v>24</v>
      </c>
      <c r="S3" s="38">
        <f t="shared" ref="S3:U4" si="1">R3+1</f>
        <v>25</v>
      </c>
      <c r="T3" s="38">
        <f t="shared" si="1"/>
        <v>26</v>
      </c>
      <c r="U3" s="38">
        <f t="shared" si="1"/>
        <v>27</v>
      </c>
      <c r="V3" s="38"/>
      <c r="W3" s="39">
        <f>R3-2</f>
        <v>22</v>
      </c>
      <c r="X3" s="40">
        <f>K3+1</f>
        <v>11</v>
      </c>
      <c r="Y3" s="40">
        <f>X3+7</f>
        <v>18</v>
      </c>
      <c r="Z3" s="40">
        <f>Y3+1</f>
        <v>19</v>
      </c>
      <c r="AA3" s="40">
        <f>Z3</f>
        <v>19</v>
      </c>
      <c r="AB3" s="38">
        <f>U3+1</f>
        <v>28</v>
      </c>
      <c r="AC3" s="38">
        <f>AB3+3</f>
        <v>31</v>
      </c>
      <c r="AE3" s="35" t="s">
        <v>41</v>
      </c>
      <c r="AF3" s="31">
        <v>1</v>
      </c>
    </row>
    <row r="4" spans="1:32" ht="30.6" customHeight="1" x14ac:dyDescent="0.25">
      <c r="A4" s="30" t="s">
        <v>49</v>
      </c>
      <c r="B4" s="38"/>
      <c r="C4" s="39">
        <f t="shared" ref="C4:C13" si="2">D4-1</f>
        <v>0</v>
      </c>
      <c r="D4" s="38">
        <f>$AF$3</f>
        <v>1</v>
      </c>
      <c r="E4" s="38">
        <f>1+0</f>
        <v>1</v>
      </c>
      <c r="F4" s="38">
        <f t="shared" si="0"/>
        <v>2</v>
      </c>
      <c r="G4" s="38">
        <f t="shared" si="0"/>
        <v>3</v>
      </c>
      <c r="H4" s="38">
        <f t="shared" si="0"/>
        <v>4</v>
      </c>
      <c r="I4" s="38">
        <f>H4+3</f>
        <v>7</v>
      </c>
      <c r="J4" s="38">
        <f>I4+1</f>
        <v>8</v>
      </c>
      <c r="K4" s="38">
        <f>J4+2</f>
        <v>10</v>
      </c>
      <c r="L4" s="38">
        <f>I4+1</f>
        <v>8</v>
      </c>
      <c r="M4" s="38">
        <f>L4+0</f>
        <v>8</v>
      </c>
      <c r="N4" s="38">
        <f>M4+1</f>
        <v>9</v>
      </c>
      <c r="O4" s="38">
        <f>N4</f>
        <v>9</v>
      </c>
      <c r="P4" s="38"/>
      <c r="Q4" s="38"/>
      <c r="R4" s="38">
        <f>T5+1</f>
        <v>24</v>
      </c>
      <c r="S4" s="38">
        <f t="shared" si="1"/>
        <v>25</v>
      </c>
      <c r="T4" s="38">
        <f t="shared" si="1"/>
        <v>26</v>
      </c>
      <c r="U4" s="38">
        <f t="shared" si="1"/>
        <v>27</v>
      </c>
      <c r="V4" s="38"/>
      <c r="W4" s="39">
        <f t="shared" ref="W4:W9" si="3">R4-2</f>
        <v>22</v>
      </c>
      <c r="X4" s="40">
        <f t="shared" ref="X4:X9" si="4">K4+1</f>
        <v>11</v>
      </c>
      <c r="Y4" s="40">
        <f t="shared" ref="Y4:Y9" si="5">X4+7</f>
        <v>18</v>
      </c>
      <c r="Z4" s="40"/>
      <c r="AA4" s="40"/>
      <c r="AB4" s="38">
        <f t="shared" ref="AB4:AB9" si="6">U4+1</f>
        <v>28</v>
      </c>
      <c r="AC4" s="38">
        <f t="shared" ref="AC4:AC9" si="7">AB4+3</f>
        <v>31</v>
      </c>
    </row>
    <row r="5" spans="1:32" ht="30.6" customHeight="1" x14ac:dyDescent="0.25">
      <c r="A5" s="30" t="s">
        <v>27</v>
      </c>
      <c r="B5" s="38"/>
      <c r="C5" s="39">
        <f t="shared" si="2"/>
        <v>9</v>
      </c>
      <c r="D5" s="38">
        <f>O4+1</f>
        <v>10</v>
      </c>
      <c r="E5" s="38">
        <f>D5+0</f>
        <v>10</v>
      </c>
      <c r="F5" s="38">
        <f>E5+1</f>
        <v>11</v>
      </c>
      <c r="G5" s="38">
        <f>F5+2</f>
        <v>13</v>
      </c>
      <c r="H5" s="38">
        <f>G5+1</f>
        <v>14</v>
      </c>
      <c r="I5" s="38">
        <f>H5+3</f>
        <v>17</v>
      </c>
      <c r="J5" s="38"/>
      <c r="K5" s="38"/>
      <c r="L5" s="38">
        <f>I5+1</f>
        <v>18</v>
      </c>
      <c r="M5" s="38">
        <f>L5+1</f>
        <v>19</v>
      </c>
      <c r="N5" s="38">
        <f>M5+1</f>
        <v>20</v>
      </c>
      <c r="O5" s="38">
        <f>N5+0</f>
        <v>20</v>
      </c>
      <c r="P5" s="38">
        <f>F5</f>
        <v>11</v>
      </c>
      <c r="Q5" s="38">
        <f>P5+4</f>
        <v>15</v>
      </c>
      <c r="R5" s="38">
        <f>$AF$2+1</f>
        <v>21</v>
      </c>
      <c r="S5" s="38">
        <f>R5+1</f>
        <v>22</v>
      </c>
      <c r="T5" s="38">
        <f>S5+1</f>
        <v>23</v>
      </c>
      <c r="U5" s="38">
        <f>T5+1</f>
        <v>24</v>
      </c>
      <c r="V5" s="38"/>
      <c r="W5" s="39">
        <f t="shared" si="3"/>
        <v>19</v>
      </c>
      <c r="X5" s="40">
        <f t="shared" si="4"/>
        <v>1</v>
      </c>
      <c r="Y5" s="40">
        <f t="shared" si="5"/>
        <v>8</v>
      </c>
      <c r="Z5" s="40">
        <f>Y5+1</f>
        <v>9</v>
      </c>
      <c r="AA5" s="40">
        <f>Z5+1</f>
        <v>10</v>
      </c>
      <c r="AB5" s="38">
        <f t="shared" si="6"/>
        <v>25</v>
      </c>
      <c r="AC5" s="38">
        <f t="shared" si="7"/>
        <v>28</v>
      </c>
    </row>
    <row r="6" spans="1:32" ht="30.6" customHeight="1" x14ac:dyDescent="0.25">
      <c r="A6" s="30" t="s">
        <v>25</v>
      </c>
      <c r="B6" s="38"/>
      <c r="C6" s="39">
        <f t="shared" si="2"/>
        <v>9</v>
      </c>
      <c r="D6" s="38">
        <f>D5</f>
        <v>10</v>
      </c>
      <c r="E6" s="38">
        <f>D6+0</f>
        <v>10</v>
      </c>
      <c r="F6" s="38">
        <f>E6+1</f>
        <v>11</v>
      </c>
      <c r="G6" s="38">
        <f>F6+3</f>
        <v>14</v>
      </c>
      <c r="H6" s="38">
        <f>G6+1</f>
        <v>15</v>
      </c>
      <c r="I6" s="38">
        <f>H6+4</f>
        <v>19</v>
      </c>
      <c r="J6" s="38">
        <f>I6+1</f>
        <v>20</v>
      </c>
      <c r="K6" s="38">
        <f>J6+2</f>
        <v>22</v>
      </c>
      <c r="L6" s="38">
        <f>I6+1</f>
        <v>20</v>
      </c>
      <c r="M6" s="38">
        <f>L6+1</f>
        <v>21</v>
      </c>
      <c r="N6" s="38">
        <f>M6+1</f>
        <v>22</v>
      </c>
      <c r="O6" s="38">
        <f>N6+0</f>
        <v>22</v>
      </c>
      <c r="P6" s="38">
        <f>F6</f>
        <v>11</v>
      </c>
      <c r="Q6" s="38">
        <f>P6+11</f>
        <v>22</v>
      </c>
      <c r="R6" s="38">
        <f>$AF$1+1</f>
        <v>71</v>
      </c>
      <c r="S6" s="38">
        <f>R6+2</f>
        <v>73</v>
      </c>
      <c r="T6" s="38">
        <f t="shared" ref="T6:U9" si="8">S6+1</f>
        <v>74</v>
      </c>
      <c r="U6" s="38">
        <f t="shared" si="8"/>
        <v>75</v>
      </c>
      <c r="V6" s="38"/>
      <c r="W6" s="39">
        <f t="shared" si="3"/>
        <v>69</v>
      </c>
      <c r="X6" s="40">
        <f t="shared" si="4"/>
        <v>23</v>
      </c>
      <c r="Y6" s="40">
        <f t="shared" si="5"/>
        <v>30</v>
      </c>
      <c r="Z6" s="40">
        <f>Y6+1</f>
        <v>31</v>
      </c>
      <c r="AA6" s="40">
        <f t="shared" ref="AA6:AA9" si="9">Z6+1</f>
        <v>32</v>
      </c>
      <c r="AB6" s="38">
        <f t="shared" si="6"/>
        <v>76</v>
      </c>
      <c r="AC6" s="38">
        <f t="shared" si="7"/>
        <v>79</v>
      </c>
    </row>
    <row r="7" spans="1:32" ht="30.6" customHeight="1" x14ac:dyDescent="0.25">
      <c r="A7" s="30" t="s">
        <v>39</v>
      </c>
      <c r="B7" s="38"/>
      <c r="C7" s="39">
        <f t="shared" si="2"/>
        <v>26</v>
      </c>
      <c r="D7" s="38">
        <f>T3+1</f>
        <v>27</v>
      </c>
      <c r="E7" s="38">
        <f>D7+0</f>
        <v>27</v>
      </c>
      <c r="F7" s="38">
        <f>D7</f>
        <v>27</v>
      </c>
      <c r="G7" s="38">
        <f>F7+1</f>
        <v>28</v>
      </c>
      <c r="H7" s="38">
        <f>G7+1</f>
        <v>29</v>
      </c>
      <c r="I7" s="38">
        <f>H7+2</f>
        <v>31</v>
      </c>
      <c r="J7" s="38">
        <f>I7+1</f>
        <v>32</v>
      </c>
      <c r="K7" s="38">
        <f>J7+2</f>
        <v>34</v>
      </c>
      <c r="L7" s="38">
        <f>H7</f>
        <v>29</v>
      </c>
      <c r="M7" s="38">
        <f>L7+2</f>
        <v>31</v>
      </c>
      <c r="N7" s="38">
        <f>L7</f>
        <v>29</v>
      </c>
      <c r="O7" s="38">
        <f>N7+2</f>
        <v>31</v>
      </c>
      <c r="P7" s="38">
        <f>Q5+1</f>
        <v>16</v>
      </c>
      <c r="Q7" s="38">
        <f>P7+15</f>
        <v>31</v>
      </c>
      <c r="R7" s="38">
        <f>$AF$1+1</f>
        <v>71</v>
      </c>
      <c r="S7" s="38">
        <f>R7+2</f>
        <v>73</v>
      </c>
      <c r="T7" s="38">
        <f t="shared" si="8"/>
        <v>74</v>
      </c>
      <c r="U7" s="38">
        <f t="shared" si="8"/>
        <v>75</v>
      </c>
      <c r="V7" s="38"/>
      <c r="W7" s="39">
        <f t="shared" si="3"/>
        <v>69</v>
      </c>
      <c r="X7" s="40">
        <f t="shared" si="4"/>
        <v>35</v>
      </c>
      <c r="Y7" s="40">
        <f t="shared" si="5"/>
        <v>42</v>
      </c>
      <c r="Z7" s="40">
        <f t="shared" ref="Z7:Z9" si="10">Y7+1</f>
        <v>43</v>
      </c>
      <c r="AA7" s="40">
        <f t="shared" si="9"/>
        <v>44</v>
      </c>
      <c r="AB7" s="38">
        <f t="shared" si="6"/>
        <v>76</v>
      </c>
      <c r="AC7" s="38">
        <f t="shared" si="7"/>
        <v>79</v>
      </c>
    </row>
    <row r="8" spans="1:32" ht="30.6" customHeight="1" x14ac:dyDescent="0.25">
      <c r="A8" s="30" t="s">
        <v>26</v>
      </c>
      <c r="B8" s="38"/>
      <c r="C8" s="39">
        <f t="shared" si="2"/>
        <v>31</v>
      </c>
      <c r="D8" s="38">
        <f>Q7+1</f>
        <v>32</v>
      </c>
      <c r="E8" s="38">
        <f>D8+0</f>
        <v>32</v>
      </c>
      <c r="F8" s="38">
        <f>D8</f>
        <v>32</v>
      </c>
      <c r="G8" s="38">
        <f>F8+1</f>
        <v>33</v>
      </c>
      <c r="H8" s="38">
        <f>G8+1</f>
        <v>34</v>
      </c>
      <c r="I8" s="38">
        <f>H8+1</f>
        <v>35</v>
      </c>
      <c r="J8" s="38">
        <f>I8+1</f>
        <v>36</v>
      </c>
      <c r="K8" s="38">
        <f>J8+2</f>
        <v>38</v>
      </c>
      <c r="L8" s="38">
        <f>I8+1</f>
        <v>36</v>
      </c>
      <c r="M8" s="38">
        <f>L8+0</f>
        <v>36</v>
      </c>
      <c r="N8" s="38">
        <f>M8+1</f>
        <v>37</v>
      </c>
      <c r="O8" s="38">
        <f>N8+0</f>
        <v>37</v>
      </c>
      <c r="P8" s="38">
        <f>D8</f>
        <v>32</v>
      </c>
      <c r="Q8" s="38">
        <f>P8+5</f>
        <v>37</v>
      </c>
      <c r="R8" s="38">
        <f>S7+1</f>
        <v>74</v>
      </c>
      <c r="S8" s="38">
        <f>R8+2</f>
        <v>76</v>
      </c>
      <c r="T8" s="38">
        <f t="shared" si="8"/>
        <v>77</v>
      </c>
      <c r="U8" s="38">
        <f t="shared" si="8"/>
        <v>78</v>
      </c>
      <c r="V8" s="38"/>
      <c r="W8" s="39">
        <f t="shared" si="3"/>
        <v>72</v>
      </c>
      <c r="X8" s="40">
        <f t="shared" si="4"/>
        <v>39</v>
      </c>
      <c r="Y8" s="40">
        <f t="shared" si="5"/>
        <v>46</v>
      </c>
      <c r="Z8" s="40">
        <f t="shared" si="10"/>
        <v>47</v>
      </c>
      <c r="AA8" s="40">
        <f t="shared" si="9"/>
        <v>48</v>
      </c>
      <c r="AB8" s="38">
        <f t="shared" si="6"/>
        <v>79</v>
      </c>
      <c r="AC8" s="38">
        <f t="shared" si="7"/>
        <v>82</v>
      </c>
    </row>
    <row r="9" spans="1:32" ht="30.6" customHeight="1" x14ac:dyDescent="0.25">
      <c r="A9" s="30" t="s">
        <v>28</v>
      </c>
      <c r="B9" s="38"/>
      <c r="C9" s="39">
        <f t="shared" si="2"/>
        <v>37</v>
      </c>
      <c r="D9" s="38">
        <f>Q8+1</f>
        <v>38</v>
      </c>
      <c r="E9" s="38">
        <f>D9+0</f>
        <v>38</v>
      </c>
      <c r="F9" s="38">
        <f>E9+1</f>
        <v>39</v>
      </c>
      <c r="G9" s="38">
        <f>F9+4</f>
        <v>43</v>
      </c>
      <c r="H9" s="38">
        <f>G9+1</f>
        <v>44</v>
      </c>
      <c r="I9" s="38">
        <f>H9+3</f>
        <v>47</v>
      </c>
      <c r="J9" s="38">
        <f>I9+1</f>
        <v>48</v>
      </c>
      <c r="K9" s="38">
        <f>J9+2</f>
        <v>50</v>
      </c>
      <c r="L9" s="38">
        <f>I9+1</f>
        <v>48</v>
      </c>
      <c r="M9" s="38">
        <f>L9+1</f>
        <v>49</v>
      </c>
      <c r="N9" s="38">
        <f>L9</f>
        <v>48</v>
      </c>
      <c r="O9" s="38">
        <f>N9+1</f>
        <v>49</v>
      </c>
      <c r="P9" s="38">
        <f>D9</f>
        <v>38</v>
      </c>
      <c r="Q9" s="38">
        <f>P9+9</f>
        <v>47</v>
      </c>
      <c r="R9" s="38">
        <f>S8+1</f>
        <v>77</v>
      </c>
      <c r="S9" s="38">
        <f>R9+3</f>
        <v>80</v>
      </c>
      <c r="T9" s="38">
        <f t="shared" si="8"/>
        <v>81</v>
      </c>
      <c r="U9" s="38">
        <f t="shared" si="8"/>
        <v>82</v>
      </c>
      <c r="V9" s="38"/>
      <c r="W9" s="39">
        <f t="shared" si="3"/>
        <v>75</v>
      </c>
      <c r="X9" s="40">
        <f t="shared" si="4"/>
        <v>51</v>
      </c>
      <c r="Y9" s="40">
        <f t="shared" si="5"/>
        <v>58</v>
      </c>
      <c r="Z9" s="40">
        <f t="shared" si="10"/>
        <v>59</v>
      </c>
      <c r="AA9" s="40">
        <f t="shared" si="9"/>
        <v>60</v>
      </c>
      <c r="AB9" s="38">
        <f t="shared" si="6"/>
        <v>83</v>
      </c>
      <c r="AC9" s="38">
        <f t="shared" si="7"/>
        <v>86</v>
      </c>
    </row>
    <row r="10" spans="1:32" ht="30.6" customHeight="1" x14ac:dyDescent="0.25">
      <c r="A10" s="32" t="s">
        <v>37</v>
      </c>
      <c r="B10" s="38"/>
      <c r="C10" s="39">
        <f t="shared" si="2"/>
        <v>-1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9"/>
      <c r="X10" s="40"/>
      <c r="Y10" s="40"/>
      <c r="Z10" s="40"/>
      <c r="AA10" s="40"/>
      <c r="AB10" s="38"/>
      <c r="AC10" s="38"/>
    </row>
    <row r="11" spans="1:32" ht="30.6" customHeight="1" x14ac:dyDescent="0.25">
      <c r="A11" s="32" t="s">
        <v>36</v>
      </c>
      <c r="B11" s="38"/>
      <c r="C11" s="39">
        <f t="shared" si="2"/>
        <v>-1</v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9"/>
      <c r="X11" s="40"/>
      <c r="Y11" s="40"/>
      <c r="Z11" s="40"/>
      <c r="AA11" s="40"/>
      <c r="AB11" s="38"/>
      <c r="AC11" s="38"/>
    </row>
    <row r="12" spans="1:32" ht="30.6" customHeight="1" x14ac:dyDescent="0.25">
      <c r="A12" s="32" t="s">
        <v>35</v>
      </c>
      <c r="B12" s="38"/>
      <c r="C12" s="39">
        <f t="shared" si="2"/>
        <v>-1</v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9"/>
      <c r="X12" s="40"/>
      <c r="Y12" s="40"/>
      <c r="Z12" s="40"/>
      <c r="AA12" s="40"/>
      <c r="AB12" s="38"/>
      <c r="AC12" s="38"/>
    </row>
    <row r="13" spans="1:32" ht="30.6" customHeight="1" x14ac:dyDescent="0.25">
      <c r="A13" s="33" t="s">
        <v>38</v>
      </c>
      <c r="B13" s="38"/>
      <c r="C13" s="39">
        <f t="shared" si="2"/>
        <v>-1</v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9"/>
      <c r="X13" s="40"/>
      <c r="Y13" s="40"/>
      <c r="Z13" s="40"/>
      <c r="AA13" s="40"/>
      <c r="AB13" s="38"/>
      <c r="AC13" s="38"/>
    </row>
    <row r="17" spans="1:4" x14ac:dyDescent="0.25">
      <c r="A17" s="34" t="s">
        <v>51</v>
      </c>
      <c r="B17" s="41">
        <v>45530</v>
      </c>
      <c r="C17" s="41">
        <v>45531</v>
      </c>
    </row>
    <row r="18" spans="1:4" x14ac:dyDescent="0.25">
      <c r="A18" s="34" t="s">
        <v>52</v>
      </c>
      <c r="C18" s="41">
        <v>45533</v>
      </c>
    </row>
    <row r="19" spans="1:4" x14ac:dyDescent="0.25">
      <c r="A19" s="34" t="s">
        <v>53</v>
      </c>
      <c r="C19" s="41">
        <v>45535</v>
      </c>
    </row>
    <row r="20" spans="1:4" x14ac:dyDescent="0.25">
      <c r="A20" s="34" t="s">
        <v>54</v>
      </c>
      <c r="C20" s="41">
        <v>45529</v>
      </c>
    </row>
    <row r="21" spans="1:4" x14ac:dyDescent="0.25">
      <c r="A21" s="34" t="s">
        <v>55</v>
      </c>
      <c r="C21" s="41">
        <v>45536</v>
      </c>
    </row>
    <row r="22" spans="1:4" x14ac:dyDescent="0.25">
      <c r="A22" s="34" t="s">
        <v>56</v>
      </c>
      <c r="C22" s="41">
        <v>45549</v>
      </c>
    </row>
    <row r="23" spans="1:4" x14ac:dyDescent="0.25">
      <c r="A23" s="34" t="s">
        <v>57</v>
      </c>
      <c r="C23" s="41">
        <v>45641</v>
      </c>
      <c r="D23" s="31">
        <f>C23-C17</f>
        <v>110</v>
      </c>
    </row>
    <row r="24" spans="1:4" x14ac:dyDescent="0.25">
      <c r="A24" s="34" t="s">
        <v>58</v>
      </c>
      <c r="C24" s="41">
        <v>45536</v>
      </c>
    </row>
    <row r="25" spans="1:4" x14ac:dyDescent="0.25">
      <c r="A25" s="34" t="s">
        <v>59</v>
      </c>
      <c r="C25" s="41">
        <f>C24+2</f>
        <v>45538</v>
      </c>
    </row>
    <row r="26" spans="1:4" x14ac:dyDescent="0.25">
      <c r="A26" s="34" t="s">
        <v>60</v>
      </c>
      <c r="C26" s="41">
        <f>C25+1</f>
        <v>45539</v>
      </c>
    </row>
  </sheetData>
  <mergeCells count="15">
    <mergeCell ref="J1:K1"/>
    <mergeCell ref="A1:A2"/>
    <mergeCell ref="B1:C1"/>
    <mergeCell ref="D1:E1"/>
    <mergeCell ref="F1:G1"/>
    <mergeCell ref="H1:I1"/>
    <mergeCell ref="X1:Y1"/>
    <mergeCell ref="Z1:AA1"/>
    <mergeCell ref="AB1:AC1"/>
    <mergeCell ref="L1:M1"/>
    <mergeCell ref="N1:O1"/>
    <mergeCell ref="P1:Q1"/>
    <mergeCell ref="R1:S1"/>
    <mergeCell ref="T1:U1"/>
    <mergeCell ref="V1:W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Project Planner</vt:lpstr>
      <vt:lpstr>Project Planner (3)</vt:lpstr>
      <vt:lpstr>Schedule</vt:lpstr>
      <vt:lpstr>DATE</vt:lpstr>
      <vt:lpstr>Organogram</vt:lpstr>
      <vt:lpstr>SCOPE</vt:lpstr>
      <vt:lpstr>Project Planner (2)</vt:lpstr>
      <vt:lpstr>TOOLS</vt:lpstr>
      <vt:lpstr>Schedule (2)</vt:lpstr>
      <vt:lpstr>'Project Planner'!period_selected</vt:lpstr>
      <vt:lpstr>'Project Planner (2)'!period_selected</vt:lpstr>
      <vt:lpstr>'Project Planner (3)'!period_selected</vt:lpstr>
      <vt:lpstr>'Project Planner'!Print_Titles</vt:lpstr>
      <vt:lpstr>'Project Planner (2)'!Print_Titles</vt:lpstr>
      <vt:lpstr>'Project Planner (3)'!Print_Titles</vt:lpstr>
      <vt:lpstr>'Project Planner'!TitleRegion..BO60</vt:lpstr>
      <vt:lpstr>'Project Planner (2)'!TitleRegion..BO60</vt:lpstr>
      <vt:lpstr>'Project Planner (3)'!TitleRegion..BO60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2026-07-24T18:05:46Z</dcterms:modified>
</cp:coreProperties>
</file>